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cc596b9a6246c1" /></Relationships>
</file>

<file path=xl/workbook.xml><?xml version="1.0" encoding="utf-8"?>
<x:workbook xmlns:x="http://schemas.openxmlformats.org/spreadsheetml/2006/main">
  <x:sheets>
    <x:sheet xmlns:r="http://schemas.openxmlformats.org/officeDocument/2006/relationships" name="README_处理边界" sheetId="1" r:id="R2fdba786adc148ac"/>
    <x:sheet xmlns:r="http://schemas.openxmlformats.org/officeDocument/2006/relationships" name="样本筛查总览" sheetId="2" r:id="R120ce4ae12b64bca"/>
    <x:sheet xmlns:r="http://schemas.openxmlformats.org/officeDocument/2006/relationships" name="学生样本筛查" sheetId="3" r:id="R53f8178318584e2f"/>
    <x:sheet xmlns:r="http://schemas.openxmlformats.org/officeDocument/2006/relationships" name="家长样本筛查" sheetId="4" r:id="Rf0f1e31db1224181"/>
    <x:sheet xmlns:r="http://schemas.openxmlformats.org/officeDocument/2006/relationships" name="教师样本筛查" sheetId="5" r:id="R6fca29d11381423a"/>
    <x:sheet xmlns:r="http://schemas.openxmlformats.org/officeDocument/2006/relationships" name="变量字典_学生" sheetId="6" r:id="Ra0b3517d1ae74ffe"/>
    <x:sheet xmlns:r="http://schemas.openxmlformats.org/officeDocument/2006/relationships" name="变量字典_家长" sheetId="7" r:id="Racbc7cf67f654553"/>
    <x:sheet xmlns:r="http://schemas.openxmlformats.org/officeDocument/2006/relationships" name="变量字典_教师" sheetId="8" r:id="R957151b4f4d346a0"/>
    <x:sheet xmlns:r="http://schemas.openxmlformats.org/officeDocument/2006/relationships" name="质性材料准备清单" sheetId="9" r:id="Ra495ec1b97cb46cb"/>
    <x:sheet xmlns:r="http://schemas.openxmlformats.org/officeDocument/2006/relationships" name="通用清洗规则" sheetId="10" r:id="Re36785db41f341b6"/>
    <x:sheet xmlns:r="http://schemas.openxmlformats.org/officeDocument/2006/relationships" name="流程与来源" sheetId="11" r:id="R5a10d5d3a78c41c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0"/>
      <x:color rgb="FF1F1F1F"/>
      <x:name val="宋体"/>
    </x:font>
    <x:font>
      <x:b/>
      <x:sz val="15"/>
      <x:color rgb="FFFFFFFF"/>
      <x:name val="黑体"/>
    </x:font>
    <x:font>
      <x:b/>
      <x:sz val="10"/>
      <x:color rgb="FF1F1F1F"/>
      <x:name val="黑体"/>
    </x:font>
    <x:font>
      <x:b/>
      <x:sz val="10"/>
      <x:color rgb="FF1F1F1F"/>
      <x:name val="Times New Roman"/>
    </x:font>
    <x:font>
      <x:sz val="10"/>
      <x:color rgb="FF1F1F1F"/>
      <x:name val="Times New Roman"/>
    </x:font>
    <x:font>
      <x:sz val="10"/>
      <x:color rgb="FFC00000"/>
      <x:name val="宋体"/>
    </x:font>
  </x:fonts>
  <x:fills count="5">
    <x:fill>
      <x:patternFill patternType="none"/>
    </x:fill>
    <x:fill>
      <x:patternFill patternType="gray125"/>
    </x:fill>
    <x:fill>
      <x:patternFill patternType="solid">
        <x:fgColor rgb="FF1F1F1F"/>
      </x:patternFill>
    </x:fill>
    <x:fill>
      <x:patternFill patternType="solid">
        <x:fgColor rgb="FFD9D9D9"/>
      </x:patternFill>
    </x:fill>
    <x:fill>
      <x:patternFill patternType="solid">
        <x:fgColor rgb="FFFCE4D6"/>
      </x:patternFill>
    </x:fill>
  </x:fills>
  <x:borders count="5">
    <x:border/>
    <x:border>
      <x:bottom style="medium">
        <x:color rgb="FF1F1F1F"/>
      </x:bottom>
    </x:border>
    <x:border>
      <x:bottom style="thin">
        <x:color rgb="FFE7E6E6"/>
      </x:bottom>
    </x:border>
    <x:border>
      <x:top style="thin">
        <x:color rgb="FFE7E6E6"/>
      </x:top>
      <x:bottom style="thin">
        <x:color rgb="FFE7E6E6"/>
      </x:bottom>
    </x:border>
    <x:border>
      <x:top style="thin">
        <x:color rgb="FFE7E6E6"/>
      </x:top>
      <x:bottom style="medium">
        <x:color rgb="FF1F1F1F"/>
      </x:bottom>
    </x:border>
  </x:borders>
  <x:cellStyleXfs count="1">
    <x:xf numFmtId="0" fontId="0" fillId="0" borderId="0"/>
  </x:cellStyleXfs>
  <x:cellXfs count="2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3" fillId="3" borderId="1" xfId="0" applyNumberFormat="1" applyFont="1" applyFill="1" applyBorder="1" applyAlignment="1">
      <x:alignment horizontal="center" vertical="center" wrapText="1"/>
    </x:xf>
    <x:xf numFmtId="0" fontId="1" fillId="0" borderId="2" xfId="0" applyNumberFormat="1" applyFont="1" applyFill="1" applyBorder="1" applyAlignment="1">
      <x:alignment vertical="center" wrapText="1"/>
    </x:xf>
    <x:xf numFmtId="0" fontId="1" fillId="0" borderId="3" xfId="0" applyNumberFormat="1" applyFont="1" applyFill="1" applyBorder="1" applyAlignment="1">
      <x:alignment vertical="center" wrapText="1"/>
    </x:xf>
    <x:xf numFmtId="0" fontId="1" fillId="0" borderId="4" xfId="0" applyNumberFormat="1" applyFont="1" applyFill="1" applyBorder="1" applyAlignment="1">
      <x:alignment vertical="center" wrapText="1"/>
    </x:xf>
    <x:xf numFmtId="0" fontId="1" fillId="0" borderId="2" xfId="0" applyNumberFormat="1" applyFont="1" applyFill="1" applyBorder="1" applyAlignment="1">
      <x:alignment horizontal="center" vertical="center" wrapText="1"/>
    </x:xf>
    <x:xf numFmtId="0" fontId="1" fillId="0" borderId="3" xfId="0" applyNumberFormat="1" applyFont="1" applyFill="1" applyBorder="1" applyAlignment="1">
      <x:alignment horizontal="center" vertical="center" wrapText="1"/>
    </x:xf>
    <x:xf numFmtId="0" fontId="1" fillId="0" borderId="4"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5" fillId="0" borderId="2" xfId="0" applyNumberFormat="1" applyFont="1" applyFill="1" applyBorder="1" applyAlignment="1">
      <x:alignment vertical="center" wrapText="1"/>
    </x:xf>
    <x:xf numFmtId="0" fontId="5" fillId="0" borderId="3" xfId="0" applyNumberFormat="1" applyFont="1" applyFill="1" applyBorder="1" applyAlignment="1">
      <x:alignment vertical="center" wrapText="1"/>
    </x:xf>
    <x:xf numFmtId="0" fontId="5" fillId="0" borderId="4"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1" fillId="4" borderId="3" xfId="0" applyNumberFormat="1" applyFont="1" applyFill="1" applyBorder="1" applyAlignment="1">
      <x:alignment horizontal="center" vertical="center" wrapText="1"/>
    </x:xf>
    <x:xf numFmtId="0" fontId="1" fillId="4" borderId="3" xfId="0" applyNumberFormat="1" applyFont="1" applyFill="1" applyBorder="1" applyAlignment="1">
      <x:alignment vertical="center" wrapText="1"/>
    </x:xf>
    <x:xf numFmtId="0" fontId="6" fillId="4" borderId="3" xfId="0" applyNumberFormat="1" applyFont="1" applyFill="1" applyBorder="1" applyAlignment="1">
      <x:alignment vertical="center" wrapText="1"/>
    </x:xf>
    <x:xf numFmtId="0" fontId="6" fillId="4" borderId="3" xfId="0" applyNumberFormat="1" applyFont="1" applyFill="1" applyBorder="1" applyAlignment="1">
      <x:alignment horizontal="center" vertical="center" wrapText="1"/>
    </x:xf>
    <x:xf numFmtId="200" fontId="1" fillId="0" borderId="2" xfId="0" applyNumberFormat="1" applyFont="1" applyFill="1" applyBorder="1" applyAlignment="1">
      <x:alignment horizontal="center" vertical="center" wrapText="1"/>
    </x:xf>
    <x:xf numFmtId="200" fontId="1" fillId="0" borderId="3" xfId="0" applyNumberFormat="1" applyFont="1" applyFill="1" applyBorder="1" applyAlignment="1">
      <x:alignment horizontal="center" vertical="center" wrapText="1"/>
    </x:xf>
    <x:xf numFmtId="200" fontId="1" fillId="0" borderId="4"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dcc76da368457a" /><Relationship Type="http://schemas.openxmlformats.org/officeDocument/2006/relationships/theme" Target="/xl/theme/theme1.xml" Id="Rbf332d2813894001" /><Relationship Type="http://schemas.openxmlformats.org/officeDocument/2006/relationships/sharedStrings" Target="/xl/sharedStrings.xml" Id="Ra4c5d3cbd0034bbf" /><Relationship Type="http://schemas.openxmlformats.org/officeDocument/2006/relationships/worksheet" Target="/xl/worksheets/sheet1.xml" Id="R2fdba786adc148ac" /><Relationship Type="http://schemas.openxmlformats.org/officeDocument/2006/relationships/worksheet" Target="/xl/worksheets/sheet2.xml" Id="R120ce4ae12b64bca" /><Relationship Type="http://schemas.openxmlformats.org/officeDocument/2006/relationships/worksheet" Target="/xl/worksheets/sheet3.xml" Id="R53f8178318584e2f" /><Relationship Type="http://schemas.openxmlformats.org/officeDocument/2006/relationships/worksheet" Target="/xl/worksheets/sheet4.xml" Id="Rf0f1e31db1224181" /><Relationship Type="http://schemas.openxmlformats.org/officeDocument/2006/relationships/worksheet" Target="/xl/worksheets/sheet5.xml" Id="R6fca29d11381423a" /><Relationship Type="http://schemas.openxmlformats.org/officeDocument/2006/relationships/worksheet" Target="/xl/worksheets/sheet6.xml" Id="Ra0b3517d1ae74ffe" /><Relationship Type="http://schemas.openxmlformats.org/officeDocument/2006/relationships/worksheet" Target="/xl/worksheets/sheet7.xml" Id="Racbc7cf67f654553" /><Relationship Type="http://schemas.openxmlformats.org/officeDocument/2006/relationships/worksheet" Target="/xl/worksheets/sheet8.xml" Id="R957151b4f4d346a0" /><Relationship Type="http://schemas.openxmlformats.org/officeDocument/2006/relationships/worksheet" Target="/xl/worksheets/sheet9.xml" Id="Ra495ec1b97cb46cb" /><Relationship Type="http://schemas.openxmlformats.org/officeDocument/2006/relationships/worksheet" Target="/xl/worksheets/sheet10.xml" Id="Re36785db41f341b6" /><Relationship Type="http://schemas.openxmlformats.org/officeDocument/2006/relationships/worksheet" Target="/xl/worksheets/sheet11.xml" Id="R5a10d5d3a78c41c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66" hidden="0" customWidth="1"/>
    <x:col min="4" max="4" width="24" hidden="0" customWidth="1"/>
  </x:cols>
  <x:sheetData>
    <x:row r="1" ht="28" customHeight="1">
      <x:c r="A1" s="5" t="str">
        <x:v>数据预处理工作簿：使用说明与边界</x:v>
      </x:c>
      <x:c r="B1" s="5"/>
      <x:c r="C1" s="5"/>
      <x:c r="D1" s="5"/>
    </x:row>
    <x:row r="2" ht="30" customHeight="1">
      <x:c r="A2" s="9" t="str">
        <x:v>项目</x:v>
      </x:c>
      <x:c r="B2" s="9" t="str">
        <x:v>状态/取值</x:v>
      </x:c>
      <x:c r="C2" s="9" t="str">
        <x:v>说明</x:v>
      </x:c>
      <x:c r="D2" s="9" t="str">
        <x:v>依据</x:v>
      </x:c>
    </x:row>
    <x:row r="3">
      <x:c r="A3" s="10" t="str">
        <x:v>阶段定位</x:v>
      </x:c>
      <x:c r="B3" s="10" t="str">
        <x:v>第二部分：数据预处理</x:v>
      </x:c>
      <x:c r="C3" s="10" t="str">
        <x:v>仅处理量化样本筛查、量化变量编码与质性材料准备；不进行开放题或访谈主题编码。</x:v>
      </x:c>
      <x:c r="D3" s="10" t="str">
        <x:v>用户确认的项目边界</x:v>
      </x:c>
    </x:row>
    <x:row r="4">
      <x:c r="A4" s="11" t="str">
        <x:v>原始资料原则</x:v>
      </x:c>
      <x:c r="B4" s="11" t="str">
        <x:v>只读</x:v>
      </x:c>
      <x:c r="C4" s="11" t="str">
        <x:v>原始问卷、分析工作簿和报告分别归档保存；本工作簿用于记录数据预处理全过程。</x:v>
      </x:c>
      <x:c r="D4" s="11" t="str">
        <x:v>项目留痕规范</x:v>
      </x:c>
    </x:row>
    <x:row r="5">
      <x:c r="A5" s="11" t="str">
        <x:v>量化处理</x:v>
      </x:c>
      <x:c r="B5" s="11" t="str">
        <x:v>纳入</x:v>
      </x:c>
      <x:c r="C5" s="11" t="str">
        <x:v>学生、家长、教师问卷同层级处理；保留样本ID，记录整份排除、题项级缺失、结构性缺失和派生变量。</x:v>
      </x:c>
      <x:c r="D5" s="11" t="str">
        <x:v>样本筛查与变量字典</x:v>
      </x:c>
    </x:row>
    <x:row r="6">
      <x:c r="A6" s="11" t="str">
        <x:v>质性处理</x:v>
      </x:c>
      <x:c r="B6" s="11" t="str">
        <x:v>仅准备</x:v>
      </x:c>
      <x:c r="C6" s="11" t="str">
        <x:v>登记开放文本和访谈材料的来源、匿名化、校订状态与待编码状态；主题代码本移至第三部分。</x:v>
      </x:c>
      <x:c r="D6" s="11" t="str">
        <x:v>用户明确要求</x:v>
      </x:c>
    </x:row>
    <x:row r="7">
      <x:c r="A7" s="11" t="str">
        <x:v>数据预处理记录</x:v>
      </x:c>
      <x:c r="B7" s="11" t="str">
        <x:v>完整</x:v>
      </x:c>
      <x:c r="C7" s="11" t="str">
        <x:v>本工作簿完整记录样本筛查、变量编码、缺失值处理和质性材料准备规则。</x:v>
      </x:c>
      <x:c r="D7" s="11" t="str">
        <x:v>材料盘点结果</x:v>
      </x:c>
    </x:row>
    <x:row r="8">
      <x:c r="A8" s="11" t="str">
        <x:v>样本规模</x:v>
      </x:c>
      <x:c r="B8" s="11" t="str">
        <x:v>学生99、家长87、教师17</x:v>
      </x:c>
      <x:c r="C8" s="11" t="str">
        <x:v>三类样本分别分析；家长排除4份，学生和教师无整份排除。</x:v>
      </x:c>
      <x:c r="D8" s="11" t="str">
        <x:v>样本筛查记录</x:v>
      </x:c>
    </x:row>
    <x:row r="9">
      <x:c r="A9" s="12" t="str">
        <x:v>版本性质</x:v>
      </x:c>
      <x:c r="B9" s="12" t="str">
        <x:v>规范整理</x:v>
      </x:c>
      <x:c r="C9" s="12" t="str">
        <x:v>本文件整理已经发生的筛查与编码规则，不应表述为数据收集前预注册。</x:v>
      </x:c>
      <x:c r="D9" s="12" t="str">
        <x:v>时间顺序说明</x:v>
      </x:c>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12" hidden="0" customWidth="1"/>
    <x:col min="4" max="4" width="14" hidden="0" customWidth="1"/>
    <x:col min="5" max="5" width="56" hidden="0" customWidth="1"/>
    <x:col min="6" max="6" width="52" hidden="0" customWidth="1"/>
  </x:cols>
  <x:sheetData>
    <x:row r="1" ht="28" customHeight="1">
      <x:c r="A1" s="5" t="str">
        <x:v>问卷样本筛查总览</x:v>
      </x:c>
      <x:c r="B1" s="5"/>
      <x:c r="C1" s="5"/>
      <x:c r="D1" s="5"/>
      <x:c r="E1" s="5"/>
      <x:c r="F1" s="5"/>
    </x:row>
    <x:row r="2" ht="30" customHeight="1">
      <x:c r="A2" s="9" t="str">
        <x:v>对象</x:v>
      </x:c>
      <x:c r="B2" s="9" t="str">
        <x:v>原始样本数</x:v>
      </x:c>
      <x:c r="C2" s="9" t="str">
        <x:v>排除数</x:v>
      </x:c>
      <x:c r="D2" s="9" t="str">
        <x:v>有效样本数</x:v>
      </x:c>
      <x:c r="E2" s="9" t="str">
        <x:v>整份排除原则与结果</x:v>
      </x:c>
      <x:c r="F2" s="9" t="str">
        <x:v>题项级处理重点</x:v>
      </x:c>
    </x:row>
    <x:row r="3">
      <x:c r="A3" s="10" t="str">
        <x:v>学生问卷</x:v>
      </x:c>
      <x:c r="B3" s="25" t="n">
        <x:f>COUNTA('学生样本筛查'!$A$3:$A$101)</x:f>
        <x:v>99</x:v>
      </x:c>
      <x:c r="C3" s="25" t="n">
        <x:f>COUNTIF('学生样本筛查'!$C$3:$C$101,"排除")</x:f>
        <x:v>0</x:v>
      </x:c>
      <x:c r="D3" s="25" t="n">
        <x:f>COUNTIF('学生样本筛查'!$C$3:$C$101,"保留")</x:f>
        <x:v>99</x:v>
      </x:c>
      <x:c r="E3" s="10" t="str">
        <x:v>无整份排除；开放题空白、偏题或戏谑内容仅作为文本质量标记，不影响封闭题样本。</x:v>
      </x:c>
      <x:c r="F3" s="10" t="str">
        <x:v>封闭题完整；年级编码1/2/3分别为35、29、35份。</x:v>
      </x:c>
    </x:row>
    <x:row r="4">
      <x:c r="A4" s="11" t="str">
        <x:v>家长问卷</x:v>
      </x:c>
      <x:c r="B4" s="26" t="n">
        <x:f>COUNTA('家长样本筛查'!$A$3:$A$93)</x:f>
        <x:v>91</x:v>
      </x:c>
      <x:c r="C4" s="26" t="n">
        <x:f>COUNTIF('家长样本筛查'!$E$3:$E$93,"排除")</x:f>
        <x:v>4</x:v>
      </x:c>
      <x:c r="D4" s="26" t="n">
        <x:f>COUNTIF('家长样本筛查'!$E$3:$E$93,"保留")</x:f>
        <x:v>87</x:v>
      </x:c>
      <x:c r="E4" s="11" t="str">
        <x:v>排除P030、P037、P038、P063；依据同IP、提交间隔、封闭题相似度和开放文本形成重复提交证据链。</x:v>
      </x:c>
      <x:c r="F4" s="11" t="str">
        <x:v>P002、P055的活动评价设题项级缺失；P052的开放文本保留但不进入后续主题频次。</x:v>
      </x:c>
    </x:row>
    <x:row r="5">
      <x:c r="A5" s="12" t="str">
        <x:v>教师问卷</x:v>
      </x:c>
      <x:c r="B5" s="27" t="n">
        <x:f>COUNTA('教师样本筛查'!$A$3:$A$19)</x:f>
        <x:v>17</x:v>
      </x:c>
      <x:c r="C5" s="27" t="n">
        <x:f>COUNTIF('教师样本筛查'!$D$3:$D$19,"排除")</x:f>
        <x:v>0</x:v>
      </x:c>
      <x:c r="D5" s="27" t="n">
        <x:f>COUNTIF('教师样本筛查'!$D$3:$D$19,"保留")</x:f>
        <x:v>17</x:v>
      </x:c>
      <x:c r="E5" s="12" t="str">
        <x:v>无整份排除；单题跳答、填空和学校事实认知分歧在题项层面处理。</x:v>
      </x:c>
      <x:c r="F5" s="12" t="str">
        <x:v>Q14选择无心理健康教师者的Q15—Q19为结构性缺失。</x:v>
      </x:c>
    </x:row>
  </x:sheetData>
  <x:mergeCells>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4" hidden="0" customWidth="1"/>
    <x:col min="4" max="4" width="84" hidden="0" customWidth="1"/>
  </x:cols>
  <x:sheetData>
    <x:row r="1" ht="28" customHeight="1">
      <x:c r="A1" s="5" t="str">
        <x:v>学生问卷逐份筛查记录</x:v>
      </x:c>
      <x:c r="B1" s="5"/>
      <x:c r="C1" s="5"/>
      <x:c r="D1" s="5"/>
    </x:row>
    <x:row r="2" ht="30" customHeight="1">
      <x:c r="A2" s="16" t="str">
        <x:v>样本ID</x:v>
      </x:c>
      <x:c r="B2" s="9" t="str">
        <x:v>原始年级编码</x:v>
      </x:c>
      <x:c r="C2" s="9" t="str">
        <x:v>处理决定</x:v>
      </x:c>
      <x:c r="D2" s="9" t="str">
        <x:v>具体理由</x:v>
      </x:c>
    </x:row>
    <x:row r="3">
      <x:c r="A3" s="17" t="str">
        <x:v>S001</x:v>
      </x:c>
      <x:c r="B3" s="13" t="n">
        <x:v>1</x:v>
      </x:c>
      <x:c r="C3" s="13" t="str">
        <x:v>保留</x:v>
      </x:c>
      <x:c r="D3" s="10" t="str">
        <x:v>封闭题完整且取值合法，保留。</x:v>
      </x:c>
    </x:row>
    <x:row r="4">
      <x:c r="A4" s="18" t="str">
        <x:v>S002</x:v>
      </x:c>
      <x:c r="B4" s="14" t="n">
        <x:v>1</x:v>
      </x:c>
      <x:c r="C4" s="14" t="str">
        <x:v>保留</x:v>
      </x:c>
      <x:c r="D4" s="11" t="str">
        <x:v>封闭题完整且取值合法，保留。 个别开放题存在戏谑、含义不明或偏离心理健康主题的内容，仅对相应开放题作“其他/无效文本”编码，不排除封闭题。</x:v>
      </x:c>
    </x:row>
    <x:row r="5">
      <x:c r="A5" s="18" t="str">
        <x:v>S003</x:v>
      </x:c>
      <x:c r="B5" s="14" t="n">
        <x:v>1</x:v>
      </x:c>
      <x:c r="C5" s="14" t="str">
        <x:v>保留</x:v>
      </x:c>
      <x:c r="D5" s="11" t="str">
        <x:v>封闭题完整且取值合法，保留。</x:v>
      </x:c>
    </x:row>
    <x:row r="6">
      <x:c r="A6" s="18" t="str">
        <x:v>S004</x:v>
      </x:c>
      <x:c r="B6" s="14" t="n">
        <x:v>1</x:v>
      </x:c>
      <x:c r="C6" s="14" t="str">
        <x:v>保留</x:v>
      </x:c>
      <x:c r="D6" s="11" t="str">
        <x:v>封闭题完整且取值合法，保留。</x:v>
      </x:c>
    </x:row>
    <x:row r="7">
      <x:c r="A7" s="18" t="str">
        <x:v>S005</x:v>
      </x:c>
      <x:c r="B7" s="14" t="n">
        <x:v>1</x:v>
      </x:c>
      <x:c r="C7" s="14" t="str">
        <x:v>保留</x:v>
      </x:c>
      <x:c r="D7" s="11" t="str">
        <x:v>封闭题完整且取值合法，保留。</x:v>
      </x:c>
    </x:row>
    <x:row r="8">
      <x:c r="A8" s="18" t="str">
        <x:v>S006</x:v>
      </x:c>
      <x:c r="B8" s="14" t="n">
        <x:v>1</x:v>
      </x:c>
      <x:c r="C8" s="14" t="str">
        <x:v>保留</x:v>
      </x:c>
      <x:c r="D8" s="11" t="str">
        <x:v>封闭题完整且取值合法，保留。</x:v>
      </x:c>
    </x:row>
    <x:row r="9">
      <x:c r="A9" s="18" t="str">
        <x:v>S007</x:v>
      </x:c>
      <x:c r="B9" s="14" t="n">
        <x:v>1</x:v>
      </x:c>
      <x:c r="C9" s="14" t="str">
        <x:v>保留</x:v>
      </x:c>
      <x:c r="D9" s="11" t="str">
        <x:v>封闭题完整且取值合法，保留。</x:v>
      </x:c>
    </x:row>
    <x:row r="10">
      <x:c r="A10" s="18" t="str">
        <x:v>S008</x:v>
      </x:c>
      <x:c r="B10" s="14" t="n">
        <x:v>1</x:v>
      </x:c>
      <x:c r="C10" s="14" t="str">
        <x:v>保留</x:v>
      </x:c>
      <x:c r="D10" s="11" t="str">
        <x:v>封闭题完整且取值合法，保留。</x:v>
      </x:c>
    </x:row>
    <x:row r="11">
      <x:c r="A11" s="18" t="str">
        <x:v>S009</x:v>
      </x:c>
      <x:c r="B11" s="14" t="n">
        <x:v>1</x:v>
      </x:c>
      <x:c r="C11" s="14" t="str">
        <x:v>保留</x:v>
      </x:c>
      <x:c r="D11" s="11" t="str">
        <x:v>封闭题完整且取值合法，保留。 个别开放题存在戏谑、含义不明或偏离心理健康主题的内容，仅对相应开放题作“其他/无效文本”编码，不排除封闭题。</x:v>
      </x:c>
    </x:row>
    <x:row r="12">
      <x:c r="A12" s="18" t="str">
        <x:v>S010</x:v>
      </x:c>
      <x:c r="B12" s="14" t="n">
        <x:v>1</x:v>
      </x:c>
      <x:c r="C12" s="14" t="str">
        <x:v>保留</x:v>
      </x:c>
      <x:c r="D12" s="11" t="str">
        <x:v>封闭题完整且取值合法，保留。</x:v>
      </x:c>
    </x:row>
    <x:row r="13">
      <x:c r="A13" s="18" t="str">
        <x:v>S011</x:v>
      </x:c>
      <x:c r="B13" s="14" t="n">
        <x:v>1</x:v>
      </x:c>
      <x:c r="C13" s="14" t="str">
        <x:v>保留</x:v>
      </x:c>
      <x:c r="D13" s="11" t="str">
        <x:v>封闭题完整且取值合法，保留。 开放题空缺按“无实质回答”处理。</x:v>
      </x:c>
    </x:row>
    <x:row r="14">
      <x:c r="A14" s="18" t="str">
        <x:v>S012</x:v>
      </x:c>
      <x:c r="B14" s="14" t="n">
        <x:v>1</x:v>
      </x:c>
      <x:c r="C14" s="14" t="str">
        <x:v>保留</x:v>
      </x:c>
      <x:c r="D14" s="11" t="str">
        <x:v>封闭题完整且取值合法，保留。</x:v>
      </x:c>
    </x:row>
    <x:row r="15">
      <x:c r="A15" s="18" t="str">
        <x:v>S013</x:v>
      </x:c>
      <x:c r="B15" s="14" t="n">
        <x:v>1</x:v>
      </x:c>
      <x:c r="C15" s="14" t="str">
        <x:v>保留</x:v>
      </x:c>
      <x:c r="D15" s="11" t="str">
        <x:v>封闭题完整且取值合法，保留。</x:v>
      </x:c>
    </x:row>
    <x:row r="16">
      <x:c r="A16" s="18" t="str">
        <x:v>S014</x:v>
      </x:c>
      <x:c r="B16" s="14" t="n">
        <x:v>1</x:v>
      </x:c>
      <x:c r="C16" s="14" t="str">
        <x:v>保留</x:v>
      </x:c>
      <x:c r="D16" s="11" t="str">
        <x:v>封闭题完整且取值合法，保留。</x:v>
      </x:c>
    </x:row>
    <x:row r="17">
      <x:c r="A17" s="18" t="str">
        <x:v>S015</x:v>
      </x:c>
      <x:c r="B17" s="14" t="n">
        <x:v>1</x:v>
      </x:c>
      <x:c r="C17" s="14" t="str">
        <x:v>保留</x:v>
      </x:c>
      <x:c r="D17" s="11" t="str">
        <x:v>封闭题完整且取值合法，保留。</x:v>
      </x:c>
    </x:row>
    <x:row r="18">
      <x:c r="A18" s="18" t="str">
        <x:v>S016</x:v>
      </x:c>
      <x:c r="B18" s="14" t="n">
        <x:v>1</x:v>
      </x:c>
      <x:c r="C18" s="14" t="str">
        <x:v>保留</x:v>
      </x:c>
      <x:c r="D18" s="11" t="str">
        <x:v>封闭题完整且取值合法，保留。</x:v>
      </x:c>
    </x:row>
    <x:row r="19">
      <x:c r="A19" s="18" t="str">
        <x:v>S017</x:v>
      </x:c>
      <x:c r="B19" s="14" t="n">
        <x:v>1</x:v>
      </x:c>
      <x:c r="C19" s="14" t="str">
        <x:v>保留</x:v>
      </x:c>
      <x:c r="D19" s="11" t="str">
        <x:v>封闭题完整且取值合法，保留。 开放题空缺按“无实质回答”处理。</x:v>
      </x:c>
    </x:row>
    <x:row r="20">
      <x:c r="A20" s="18" t="str">
        <x:v>S018</x:v>
      </x:c>
      <x:c r="B20" s="14" t="n">
        <x:v>1</x:v>
      </x:c>
      <x:c r="C20" s="14" t="str">
        <x:v>保留</x:v>
      </x:c>
      <x:c r="D20" s="11" t="str">
        <x:v>封闭题完整且取值合法，保留。</x:v>
      </x:c>
    </x:row>
    <x:row r="21">
      <x:c r="A21" s="18" t="str">
        <x:v>S019</x:v>
      </x:c>
      <x:c r="B21" s="14" t="n">
        <x:v>1</x:v>
      </x:c>
      <x:c r="C21" s="14" t="str">
        <x:v>保留</x:v>
      </x:c>
      <x:c r="D21" s="11" t="str">
        <x:v>封闭题完整且取值合法，保留。</x:v>
      </x:c>
    </x:row>
    <x:row r="22">
      <x:c r="A22" s="18" t="str">
        <x:v>S020</x:v>
      </x:c>
      <x:c r="B22" s="14" t="n">
        <x:v>1</x:v>
      </x:c>
      <x:c r="C22" s="14" t="str">
        <x:v>保留</x:v>
      </x:c>
      <x:c r="D22" s="11" t="str">
        <x:v>封闭题完整且取值合法，保留。 开放题空缺按“无实质回答”处理。</x:v>
      </x:c>
    </x:row>
    <x:row r="23">
      <x:c r="A23" s="18" t="str">
        <x:v>S021</x:v>
      </x:c>
      <x:c r="B23" s="14" t="n">
        <x:v>1</x:v>
      </x:c>
      <x:c r="C23" s="14" t="str">
        <x:v>保留</x:v>
      </x:c>
      <x:c r="D23" s="11" t="str">
        <x:v>封闭题完整且取值合法，保留。 开放题空缺按“无实质回答”处理。</x:v>
      </x:c>
    </x:row>
    <x:row r="24">
      <x:c r="A24" s="18" t="str">
        <x:v>S022</x:v>
      </x:c>
      <x:c r="B24" s="14" t="n">
        <x:v>1</x:v>
      </x:c>
      <x:c r="C24" s="14" t="str">
        <x:v>保留</x:v>
      </x:c>
      <x:c r="D24" s="11" t="str">
        <x:v>封闭题完整且取值合法，保留。</x:v>
      </x:c>
    </x:row>
    <x:row r="25">
      <x:c r="A25" s="18" t="str">
        <x:v>S023</x:v>
      </x:c>
      <x:c r="B25" s="14" t="n">
        <x:v>1</x:v>
      </x:c>
      <x:c r="C25" s="14" t="str">
        <x:v>保留</x:v>
      </x:c>
      <x:c r="D25" s="11" t="str">
        <x:v>封闭题完整且取值合法，保留。</x:v>
      </x:c>
    </x:row>
    <x:row r="26">
      <x:c r="A26" s="18" t="str">
        <x:v>S024</x:v>
      </x:c>
      <x:c r="B26" s="14" t="n">
        <x:v>1</x:v>
      </x:c>
      <x:c r="C26" s="14" t="str">
        <x:v>保留</x:v>
      </x:c>
      <x:c r="D26" s="11" t="str">
        <x:v>封闭题完整且取值合法，保留。</x:v>
      </x:c>
    </x:row>
    <x:row r="27">
      <x:c r="A27" s="18" t="str">
        <x:v>S025</x:v>
      </x:c>
      <x:c r="B27" s="14" t="n">
        <x:v>1</x:v>
      </x:c>
      <x:c r="C27" s="14" t="str">
        <x:v>保留</x:v>
      </x:c>
      <x:c r="D27" s="11" t="str">
        <x:v>封闭题完整且取值合法，保留。</x:v>
      </x:c>
    </x:row>
    <x:row r="28">
      <x:c r="A28" s="18" t="str">
        <x:v>S026</x:v>
      </x:c>
      <x:c r="B28" s="14" t="n">
        <x:v>1</x:v>
      </x:c>
      <x:c r="C28" s="14" t="str">
        <x:v>保留</x:v>
      </x:c>
      <x:c r="D28" s="11" t="str">
        <x:v>封闭题完整且取值合法，保留。</x:v>
      </x:c>
    </x:row>
    <x:row r="29">
      <x:c r="A29" s="18" t="str">
        <x:v>S027</x:v>
      </x:c>
      <x:c r="B29" s="14" t="n">
        <x:v>1</x:v>
      </x:c>
      <x:c r="C29" s="14" t="str">
        <x:v>保留</x:v>
      </x:c>
      <x:c r="D29" s="11" t="str">
        <x:v>封闭题完整且取值合法，保留。</x:v>
      </x:c>
    </x:row>
    <x:row r="30">
      <x:c r="A30" s="18" t="str">
        <x:v>S028</x:v>
      </x:c>
      <x:c r="B30" s="14" t="n">
        <x:v>1</x:v>
      </x:c>
      <x:c r="C30" s="14" t="str">
        <x:v>保留</x:v>
      </x:c>
      <x:c r="D30" s="11" t="str">
        <x:v>封闭题完整且取值合法，保留。</x:v>
      </x:c>
    </x:row>
    <x:row r="31">
      <x:c r="A31" s="18" t="str">
        <x:v>S029</x:v>
      </x:c>
      <x:c r="B31" s="14" t="n">
        <x:v>1</x:v>
      </x:c>
      <x:c r="C31" s="14" t="str">
        <x:v>保留</x:v>
      </x:c>
      <x:c r="D31" s="11" t="str">
        <x:v>封闭题完整且取值合法，保留。</x:v>
      </x:c>
    </x:row>
    <x:row r="32">
      <x:c r="A32" s="18" t="str">
        <x:v>S030</x:v>
      </x:c>
      <x:c r="B32" s="14" t="n">
        <x:v>1</x:v>
      </x:c>
      <x:c r="C32" s="14" t="str">
        <x:v>保留</x:v>
      </x:c>
      <x:c r="D32" s="11" t="str">
        <x:v>封闭题完整且取值合法，保留。 个别开放题存在戏谑、含义不明或偏离心理健康主题的内容，仅对相应开放题作“其他/无效文本”编码，不排除封闭题。</x:v>
      </x:c>
    </x:row>
    <x:row r="33">
      <x:c r="A33" s="18" t="str">
        <x:v>S031</x:v>
      </x:c>
      <x:c r="B33" s="14" t="n">
        <x:v>1</x:v>
      </x:c>
      <x:c r="C33" s="14" t="str">
        <x:v>保留</x:v>
      </x:c>
      <x:c r="D33" s="11" t="str">
        <x:v>封闭题完整且取值合法，保留。</x:v>
      </x:c>
    </x:row>
    <x:row r="34">
      <x:c r="A34" s="18" t="str">
        <x:v>S032</x:v>
      </x:c>
      <x:c r="B34" s="14" t="n">
        <x:v>1</x:v>
      </x:c>
      <x:c r="C34" s="14" t="str">
        <x:v>保留</x:v>
      </x:c>
      <x:c r="D34" s="11" t="str">
        <x:v>封闭题完整且取值合法，保留。</x:v>
      </x:c>
    </x:row>
    <x:row r="35">
      <x:c r="A35" s="18" t="str">
        <x:v>S033</x:v>
      </x:c>
      <x:c r="B35" s="14" t="n">
        <x:v>1</x:v>
      </x:c>
      <x:c r="C35" s="14" t="str">
        <x:v>保留</x:v>
      </x:c>
      <x:c r="D35" s="11" t="str">
        <x:v>封闭题完整且取值合法，保留。</x:v>
      </x:c>
    </x:row>
    <x:row r="36">
      <x:c r="A36" s="18" t="str">
        <x:v>S034</x:v>
      </x:c>
      <x:c r="B36" s="14" t="n">
        <x:v>1</x:v>
      </x:c>
      <x:c r="C36" s="14" t="str">
        <x:v>保留</x:v>
      </x:c>
      <x:c r="D36" s="11" t="str">
        <x:v>封闭题完整且取值合法，保留。</x:v>
      </x:c>
    </x:row>
    <x:row r="37">
      <x:c r="A37" s="18" t="str">
        <x:v>S035</x:v>
      </x:c>
      <x:c r="B37" s="14" t="n">
        <x:v>1</x:v>
      </x:c>
      <x:c r="C37" s="14" t="str">
        <x:v>保留</x:v>
      </x:c>
      <x:c r="D37" s="11" t="str">
        <x:v>封闭题完整且取值合法，保留。</x:v>
      </x:c>
    </x:row>
    <x:row r="38">
      <x:c r="A38" s="18" t="str">
        <x:v>S036</x:v>
      </x:c>
      <x:c r="B38" s="14" t="n">
        <x:v>3</x:v>
      </x:c>
      <x:c r="C38" s="14" t="str">
        <x:v>保留</x:v>
      </x:c>
      <x:c r="D38" s="11" t="str">
        <x:v>封闭题完整且取值合法，保留。</x:v>
      </x:c>
    </x:row>
    <x:row r="39">
      <x:c r="A39" s="18" t="str">
        <x:v>S037</x:v>
      </x:c>
      <x:c r="B39" s="14" t="n">
        <x:v>3</x:v>
      </x:c>
      <x:c r="C39" s="14" t="str">
        <x:v>保留</x:v>
      </x:c>
      <x:c r="D39" s="11" t="str">
        <x:v>封闭题完整且取值合法，保留。 开放题空缺按“无实质回答”处理。</x:v>
      </x:c>
    </x:row>
    <x:row r="40">
      <x:c r="A40" s="18" t="str">
        <x:v>S038</x:v>
      </x:c>
      <x:c r="B40" s="14" t="n">
        <x:v>3</x:v>
      </x:c>
      <x:c r="C40" s="14" t="str">
        <x:v>保留</x:v>
      </x:c>
      <x:c r="D40" s="11" t="str">
        <x:v>封闭题完整且取值合法，保留。</x:v>
      </x:c>
    </x:row>
    <x:row r="41">
      <x:c r="A41" s="18" t="str">
        <x:v>S039</x:v>
      </x:c>
      <x:c r="B41" s="14" t="n">
        <x:v>3</x:v>
      </x:c>
      <x:c r="C41" s="14" t="str">
        <x:v>保留</x:v>
      </x:c>
      <x:c r="D41" s="11" t="str">
        <x:v>封闭题完整且取值合法，保留。</x:v>
      </x:c>
    </x:row>
    <x:row r="42">
      <x:c r="A42" s="18" t="str">
        <x:v>S040</x:v>
      </x:c>
      <x:c r="B42" s="14" t="n">
        <x:v>3</x:v>
      </x:c>
      <x:c r="C42" s="14" t="str">
        <x:v>保留</x:v>
      </x:c>
      <x:c r="D42" s="11" t="str">
        <x:v>封闭题完整且取值合法，保留。</x:v>
      </x:c>
    </x:row>
    <x:row r="43">
      <x:c r="A43" s="18" t="str">
        <x:v>S041</x:v>
      </x:c>
      <x:c r="B43" s="14" t="n">
        <x:v>3</x:v>
      </x:c>
      <x:c r="C43" s="14" t="str">
        <x:v>保留</x:v>
      </x:c>
      <x:c r="D43" s="11" t="str">
        <x:v>封闭题完整且取值合法，保留。</x:v>
      </x:c>
    </x:row>
    <x:row r="44">
      <x:c r="A44" s="18" t="str">
        <x:v>S042</x:v>
      </x:c>
      <x:c r="B44" s="14" t="n">
        <x:v>3</x:v>
      </x:c>
      <x:c r="C44" s="14" t="str">
        <x:v>保留</x:v>
      </x:c>
      <x:c r="D44" s="11" t="str">
        <x:v>封闭题完整且取值合法，保留。</x:v>
      </x:c>
    </x:row>
    <x:row r="45">
      <x:c r="A45" s="18" t="str">
        <x:v>S043</x:v>
      </x:c>
      <x:c r="B45" s="14" t="n">
        <x:v>3</x:v>
      </x:c>
      <x:c r="C45" s="14" t="str">
        <x:v>保留</x:v>
      </x:c>
      <x:c r="D45" s="11" t="str">
        <x:v>封闭题完整且取值合法，保留。</x:v>
      </x:c>
    </x:row>
    <x:row r="46">
      <x:c r="A46" s="18" t="str">
        <x:v>S044</x:v>
      </x:c>
      <x:c r="B46" s="14" t="n">
        <x:v>3</x:v>
      </x:c>
      <x:c r="C46" s="14" t="str">
        <x:v>保留</x:v>
      </x:c>
      <x:c r="D46" s="11" t="str">
        <x:v>封闭题完整且取值合法，保留。</x:v>
      </x:c>
    </x:row>
    <x:row r="47">
      <x:c r="A47" s="18" t="str">
        <x:v>S045</x:v>
      </x:c>
      <x:c r="B47" s="14" t="n">
        <x:v>3</x:v>
      </x:c>
      <x:c r="C47" s="14" t="str">
        <x:v>保留</x:v>
      </x:c>
      <x:c r="D47" s="11" t="str">
        <x:v>封闭题完整且取值合法，保留。</x:v>
      </x:c>
    </x:row>
    <x:row r="48">
      <x:c r="A48" s="18" t="str">
        <x:v>S046</x:v>
      </x:c>
      <x:c r="B48" s="14" t="n">
        <x:v>3</x:v>
      </x:c>
      <x:c r="C48" s="14" t="str">
        <x:v>保留</x:v>
      </x:c>
      <x:c r="D48" s="11" t="str">
        <x:v>封闭题完整且取值合法，保留。</x:v>
      </x:c>
    </x:row>
    <x:row r="49">
      <x:c r="A49" s="18" t="str">
        <x:v>S047</x:v>
      </x:c>
      <x:c r="B49" s="14" t="n">
        <x:v>3</x:v>
      </x:c>
      <x:c r="C49" s="14" t="str">
        <x:v>保留</x:v>
      </x:c>
      <x:c r="D49" s="11" t="str">
        <x:v>封闭题完整且取值合法，保留。</x:v>
      </x:c>
    </x:row>
    <x:row r="50">
      <x:c r="A50" s="18" t="str">
        <x:v>S048</x:v>
      </x:c>
      <x:c r="B50" s="14" t="n">
        <x:v>3</x:v>
      </x:c>
      <x:c r="C50" s="14" t="str">
        <x:v>保留</x:v>
      </x:c>
      <x:c r="D50" s="11" t="str">
        <x:v>封闭题完整且取值合法，保留。</x:v>
      </x:c>
    </x:row>
    <x:row r="51">
      <x:c r="A51" s="18" t="str">
        <x:v>S049</x:v>
      </x:c>
      <x:c r="B51" s="14" t="n">
        <x:v>3</x:v>
      </x:c>
      <x:c r="C51" s="14" t="str">
        <x:v>保留</x:v>
      </x:c>
      <x:c r="D51" s="11" t="str">
        <x:v>封闭题完整且取值合法，保留。</x:v>
      </x:c>
    </x:row>
    <x:row r="52">
      <x:c r="A52" s="18" t="str">
        <x:v>S050</x:v>
      </x:c>
      <x:c r="B52" s="14" t="n">
        <x:v>3</x:v>
      </x:c>
      <x:c r="C52" s="14" t="str">
        <x:v>保留</x:v>
      </x:c>
      <x:c r="D52" s="11" t="str">
        <x:v>封闭题完整且取值合法，保留。</x:v>
      </x:c>
    </x:row>
    <x:row r="53">
      <x:c r="A53" s="18" t="str">
        <x:v>S051</x:v>
      </x:c>
      <x:c r="B53" s="14" t="n">
        <x:v>3</x:v>
      </x:c>
      <x:c r="C53" s="14" t="str">
        <x:v>保留</x:v>
      </x:c>
      <x:c r="D53" s="11" t="str">
        <x:v>封闭题完整且取值合法，保留。 开放题空缺按“无实质回答”处理。</x:v>
      </x:c>
    </x:row>
    <x:row r="54">
      <x:c r="A54" s="18" t="str">
        <x:v>S052</x:v>
      </x:c>
      <x:c r="B54" s="14" t="n">
        <x:v>3</x:v>
      </x:c>
      <x:c r="C54" s="14" t="str">
        <x:v>保留</x:v>
      </x:c>
      <x:c r="D54" s="11" t="str">
        <x:v>封闭题完整且取值合法，保留。</x:v>
      </x:c>
    </x:row>
    <x:row r="55">
      <x:c r="A55" s="18" t="str">
        <x:v>S053</x:v>
      </x:c>
      <x:c r="B55" s="14" t="n">
        <x:v>3</x:v>
      </x:c>
      <x:c r="C55" s="14" t="str">
        <x:v>保留</x:v>
      </x:c>
      <x:c r="D55" s="11" t="str">
        <x:v>封闭题完整且取值合法，保留。</x:v>
      </x:c>
    </x:row>
    <x:row r="56">
      <x:c r="A56" s="18" t="str">
        <x:v>S054</x:v>
      </x:c>
      <x:c r="B56" s="14" t="n">
        <x:v>3</x:v>
      </x:c>
      <x:c r="C56" s="14" t="str">
        <x:v>保留</x:v>
      </x:c>
      <x:c r="D56" s="11" t="str">
        <x:v>封闭题完整且取值合法，保留。</x:v>
      </x:c>
    </x:row>
    <x:row r="57">
      <x:c r="A57" s="18" t="str">
        <x:v>S055</x:v>
      </x:c>
      <x:c r="B57" s="14" t="n">
        <x:v>3</x:v>
      </x:c>
      <x:c r="C57" s="14" t="str">
        <x:v>保留</x:v>
      </x:c>
      <x:c r="D57" s="11" t="str">
        <x:v>封闭题完整且取值合法，保留。</x:v>
      </x:c>
    </x:row>
    <x:row r="58">
      <x:c r="A58" s="18" t="str">
        <x:v>S056</x:v>
      </x:c>
      <x:c r="B58" s="14" t="n">
        <x:v>3</x:v>
      </x:c>
      <x:c r="C58" s="14" t="str">
        <x:v>保留</x:v>
      </x:c>
      <x:c r="D58" s="11" t="str">
        <x:v>封闭题完整且取值合法，保留。</x:v>
      </x:c>
    </x:row>
    <x:row r="59">
      <x:c r="A59" s="18" t="str">
        <x:v>S057</x:v>
      </x:c>
      <x:c r="B59" s="14" t="n">
        <x:v>3</x:v>
      </x:c>
      <x:c r="C59" s="14" t="str">
        <x:v>保留</x:v>
      </x:c>
      <x:c r="D59" s="11" t="str">
        <x:v>封闭题完整且取值合法，保留。</x:v>
      </x:c>
    </x:row>
    <x:row r="60">
      <x:c r="A60" s="18" t="str">
        <x:v>S058</x:v>
      </x:c>
      <x:c r="B60" s="14" t="n">
        <x:v>3</x:v>
      </x:c>
      <x:c r="C60" s="14" t="str">
        <x:v>保留</x:v>
      </x:c>
      <x:c r="D60" s="11" t="str">
        <x:v>封闭题完整且取值合法，保留。</x:v>
      </x:c>
    </x:row>
    <x:row r="61">
      <x:c r="A61" s="18" t="str">
        <x:v>S059</x:v>
      </x:c>
      <x:c r="B61" s="14" t="n">
        <x:v>3</x:v>
      </x:c>
      <x:c r="C61" s="14" t="str">
        <x:v>保留</x:v>
      </x:c>
      <x:c r="D61" s="11" t="str">
        <x:v>封闭题完整且取值合法，保留。</x:v>
      </x:c>
    </x:row>
    <x:row r="62">
      <x:c r="A62" s="18" t="str">
        <x:v>S060</x:v>
      </x:c>
      <x:c r="B62" s="14" t="n">
        <x:v>3</x:v>
      </x:c>
      <x:c r="C62" s="14" t="str">
        <x:v>保留</x:v>
      </x:c>
      <x:c r="D62" s="11" t="str">
        <x:v>封闭题完整且取值合法，保留。</x:v>
      </x:c>
    </x:row>
    <x:row r="63">
      <x:c r="A63" s="18" t="str">
        <x:v>S061</x:v>
      </x:c>
      <x:c r="B63" s="14" t="n">
        <x:v>3</x:v>
      </x:c>
      <x:c r="C63" s="14" t="str">
        <x:v>保留</x:v>
      </x:c>
      <x:c r="D63" s="11" t="str">
        <x:v>封闭题完整且取值合法，保留。</x:v>
      </x:c>
    </x:row>
    <x:row r="64">
      <x:c r="A64" s="18" t="str">
        <x:v>S062</x:v>
      </x:c>
      <x:c r="B64" s="14" t="n">
        <x:v>3</x:v>
      </x:c>
      <x:c r="C64" s="14" t="str">
        <x:v>保留</x:v>
      </x:c>
      <x:c r="D64" s="11" t="str">
        <x:v>封闭题完整且取值合法，保留。</x:v>
      </x:c>
    </x:row>
    <x:row r="65">
      <x:c r="A65" s="18" t="str">
        <x:v>S063</x:v>
      </x:c>
      <x:c r="B65" s="14" t="n">
        <x:v>3</x:v>
      </x:c>
      <x:c r="C65" s="14" t="str">
        <x:v>保留</x:v>
      </x:c>
      <x:c r="D65" s="11" t="str">
        <x:v>封闭题完整且取值合法，保留。</x:v>
      </x:c>
    </x:row>
    <x:row r="66">
      <x:c r="A66" s="18" t="str">
        <x:v>S064</x:v>
      </x:c>
      <x:c r="B66" s="14" t="n">
        <x:v>3</x:v>
      </x:c>
      <x:c r="C66" s="14" t="str">
        <x:v>保留</x:v>
      </x:c>
      <x:c r="D66" s="11" t="str">
        <x:v>封闭题完整且取值合法，保留。</x:v>
      </x:c>
    </x:row>
    <x:row r="67">
      <x:c r="A67" s="18" t="str">
        <x:v>S065</x:v>
      </x:c>
      <x:c r="B67" s="14" t="n">
        <x:v>3</x:v>
      </x:c>
      <x:c r="C67" s="14" t="str">
        <x:v>保留</x:v>
      </x:c>
      <x:c r="D67" s="11" t="str">
        <x:v>封闭题完整且取值合法，保留。</x:v>
      </x:c>
    </x:row>
    <x:row r="68">
      <x:c r="A68" s="18" t="str">
        <x:v>S066</x:v>
      </x:c>
      <x:c r="B68" s="14" t="n">
        <x:v>3</x:v>
      </x:c>
      <x:c r="C68" s="14" t="str">
        <x:v>保留</x:v>
      </x:c>
      <x:c r="D68" s="11" t="str">
        <x:v>封闭题完整且取值合法，保留。</x:v>
      </x:c>
    </x:row>
    <x:row r="69">
      <x:c r="A69" s="18" t="str">
        <x:v>S067</x:v>
      </x:c>
      <x:c r="B69" s="14" t="n">
        <x:v>3</x:v>
      </x:c>
      <x:c r="C69" s="14" t="str">
        <x:v>保留</x:v>
      </x:c>
      <x:c r="D69" s="11" t="str">
        <x:v>封闭题完整且取值合法，保留。</x:v>
      </x:c>
    </x:row>
    <x:row r="70">
      <x:c r="A70" s="18" t="str">
        <x:v>S068</x:v>
      </x:c>
      <x:c r="B70" s="14" t="n">
        <x:v>3</x:v>
      </x:c>
      <x:c r="C70" s="14" t="str">
        <x:v>保留</x:v>
      </x:c>
      <x:c r="D70" s="11" t="str">
        <x:v>封闭题完整且取值合法，保留。</x:v>
      </x:c>
    </x:row>
    <x:row r="71">
      <x:c r="A71" s="18" t="str">
        <x:v>S069</x:v>
      </x:c>
      <x:c r="B71" s="14" t="n">
        <x:v>3</x:v>
      </x:c>
      <x:c r="C71" s="14" t="str">
        <x:v>保留</x:v>
      </x:c>
      <x:c r="D71" s="11" t="str">
        <x:v>封闭题完整且取值合法，保留。</x:v>
      </x:c>
    </x:row>
    <x:row r="72">
      <x:c r="A72" s="18" t="str">
        <x:v>S070</x:v>
      </x:c>
      <x:c r="B72" s="14" t="n">
        <x:v>3</x:v>
      </x:c>
      <x:c r="C72" s="14" t="str">
        <x:v>保留</x:v>
      </x:c>
      <x:c r="D72" s="11" t="str">
        <x:v>封闭题完整且取值合法，保留。</x:v>
      </x:c>
    </x:row>
    <x:row r="73">
      <x:c r="A73" s="18" t="str">
        <x:v>S071</x:v>
      </x:c>
      <x:c r="B73" s="14" t="n">
        <x:v>2</x:v>
      </x:c>
      <x:c r="C73" s="14" t="str">
        <x:v>保留</x:v>
      </x:c>
      <x:c r="D73" s="11" t="str">
        <x:v>封闭题完整且取值合法，保留。</x:v>
      </x:c>
    </x:row>
    <x:row r="74">
      <x:c r="A74" s="18" t="str">
        <x:v>S072</x:v>
      </x:c>
      <x:c r="B74" s="14" t="n">
        <x:v>2</x:v>
      </x:c>
      <x:c r="C74" s="14" t="str">
        <x:v>保留</x:v>
      </x:c>
      <x:c r="D74" s="11" t="str">
        <x:v>封闭题完整且取值合法，保留。</x:v>
      </x:c>
    </x:row>
    <x:row r="75">
      <x:c r="A75" s="18" t="str">
        <x:v>S073</x:v>
      </x:c>
      <x:c r="B75" s="14" t="n">
        <x:v>2</x:v>
      </x:c>
      <x:c r="C75" s="14" t="str">
        <x:v>保留</x:v>
      </x:c>
      <x:c r="D75" s="11" t="str">
        <x:v>封闭题完整且取值合法，保留。</x:v>
      </x:c>
    </x:row>
    <x:row r="76">
      <x:c r="A76" s="18" t="str">
        <x:v>S074</x:v>
      </x:c>
      <x:c r="B76" s="14" t="n">
        <x:v>2</x:v>
      </x:c>
      <x:c r="C76" s="14" t="str">
        <x:v>保留</x:v>
      </x:c>
      <x:c r="D76" s="11" t="str">
        <x:v>封闭题完整且取值合法，保留。</x:v>
      </x:c>
    </x:row>
    <x:row r="77">
      <x:c r="A77" s="18" t="str">
        <x:v>S075</x:v>
      </x:c>
      <x:c r="B77" s="14" t="n">
        <x:v>2</x:v>
      </x:c>
      <x:c r="C77" s="14" t="str">
        <x:v>保留</x:v>
      </x:c>
      <x:c r="D77" s="11" t="str">
        <x:v>封闭题完整且取值合法，保留。</x:v>
      </x:c>
    </x:row>
    <x:row r="78">
      <x:c r="A78" s="18" t="str">
        <x:v>S076</x:v>
      </x:c>
      <x:c r="B78" s="14" t="n">
        <x:v>2</x:v>
      </x:c>
      <x:c r="C78" s="14" t="str">
        <x:v>保留</x:v>
      </x:c>
      <x:c r="D78" s="11" t="str">
        <x:v>封闭题完整且取值合法，保留。</x:v>
      </x:c>
    </x:row>
    <x:row r="79">
      <x:c r="A79" s="18" t="str">
        <x:v>S077</x:v>
      </x:c>
      <x:c r="B79" s="14" t="n">
        <x:v>2</x:v>
      </x:c>
      <x:c r="C79" s="14" t="str">
        <x:v>保留</x:v>
      </x:c>
      <x:c r="D79" s="11" t="str">
        <x:v>封闭题完整且取值合法，保留。</x:v>
      </x:c>
    </x:row>
    <x:row r="80">
      <x:c r="A80" s="18" t="str">
        <x:v>S078</x:v>
      </x:c>
      <x:c r="B80" s="14" t="n">
        <x:v>2</x:v>
      </x:c>
      <x:c r="C80" s="14" t="str">
        <x:v>保留</x:v>
      </x:c>
      <x:c r="D80" s="11" t="str">
        <x:v>封闭题完整且取值合法，保留。</x:v>
      </x:c>
    </x:row>
    <x:row r="81">
      <x:c r="A81" s="18" t="str">
        <x:v>S079</x:v>
      </x:c>
      <x:c r="B81" s="14" t="n">
        <x:v>2</x:v>
      </x:c>
      <x:c r="C81" s="14" t="str">
        <x:v>保留</x:v>
      </x:c>
      <x:c r="D81" s="11" t="str">
        <x:v>封闭题完整且取值合法，保留。</x:v>
      </x:c>
    </x:row>
    <x:row r="82">
      <x:c r="A82" s="18" t="str">
        <x:v>S080</x:v>
      </x:c>
      <x:c r="B82" s="14" t="n">
        <x:v>2</x:v>
      </x:c>
      <x:c r="C82" s="14" t="str">
        <x:v>保留</x:v>
      </x:c>
      <x:c r="D82" s="11" t="str">
        <x:v>封闭题完整且取值合法，保留。 个别开放题存在戏谑、含义不明或偏离心理健康主题的内容，仅对相应开放题作“其他/无效文本”编码，不排除封闭题。</x:v>
      </x:c>
    </x:row>
    <x:row r="83">
      <x:c r="A83" s="18" t="str">
        <x:v>S081</x:v>
      </x:c>
      <x:c r="B83" s="14" t="n">
        <x:v>2</x:v>
      </x:c>
      <x:c r="C83" s="14" t="str">
        <x:v>保留</x:v>
      </x:c>
      <x:c r="D83" s="11" t="str">
        <x:v>封闭题完整且取值合法，保留。</x:v>
      </x:c>
    </x:row>
    <x:row r="84">
      <x:c r="A84" s="18" t="str">
        <x:v>S082</x:v>
      </x:c>
      <x:c r="B84" s="14" t="n">
        <x:v>2</x:v>
      </x:c>
      <x:c r="C84" s="14" t="str">
        <x:v>保留</x:v>
      </x:c>
      <x:c r="D84" s="11" t="str">
        <x:v>封闭题完整且取值合法，保留。 开放题空缺按“无实质回答”处理。</x:v>
      </x:c>
    </x:row>
    <x:row r="85">
      <x:c r="A85" s="18" t="str">
        <x:v>S083</x:v>
      </x:c>
      <x:c r="B85" s="14" t="n">
        <x:v>2</x:v>
      </x:c>
      <x:c r="C85" s="14" t="str">
        <x:v>保留</x:v>
      </x:c>
      <x:c r="D85" s="11" t="str">
        <x:v>封闭题完整且取值合法，保留。</x:v>
      </x:c>
    </x:row>
    <x:row r="86">
      <x:c r="A86" s="18" t="str">
        <x:v>S084</x:v>
      </x:c>
      <x:c r="B86" s="14" t="n">
        <x:v>2</x:v>
      </x:c>
      <x:c r="C86" s="14" t="str">
        <x:v>保留</x:v>
      </x:c>
      <x:c r="D86" s="11" t="str">
        <x:v>封闭题完整且取值合法，保留。</x:v>
      </x:c>
    </x:row>
    <x:row r="87">
      <x:c r="A87" s="18" t="str">
        <x:v>S085</x:v>
      </x:c>
      <x:c r="B87" s="14" t="n">
        <x:v>2</x:v>
      </x:c>
      <x:c r="C87" s="14" t="str">
        <x:v>保留</x:v>
      </x:c>
      <x:c r="D87" s="11" t="str">
        <x:v>封闭题完整且取值合法，保留。</x:v>
      </x:c>
    </x:row>
    <x:row r="88">
      <x:c r="A88" s="18" t="str">
        <x:v>S086</x:v>
      </x:c>
      <x:c r="B88" s="14" t="n">
        <x:v>2</x:v>
      </x:c>
      <x:c r="C88" s="14" t="str">
        <x:v>保留</x:v>
      </x:c>
      <x:c r="D88" s="11" t="str">
        <x:v>封闭题完整且取值合法，保留。</x:v>
      </x:c>
    </x:row>
    <x:row r="89">
      <x:c r="A89" s="18" t="str">
        <x:v>S087</x:v>
      </x:c>
      <x:c r="B89" s="14" t="n">
        <x:v>2</x:v>
      </x:c>
      <x:c r="C89" s="14" t="str">
        <x:v>保留</x:v>
      </x:c>
      <x:c r="D89" s="11" t="str">
        <x:v>封闭题完整且取值合法，保留。</x:v>
      </x:c>
    </x:row>
    <x:row r="90">
      <x:c r="A90" s="18" t="str">
        <x:v>S088</x:v>
      </x:c>
      <x:c r="B90" s="14" t="n">
        <x:v>2</x:v>
      </x:c>
      <x:c r="C90" s="14" t="str">
        <x:v>保留</x:v>
      </x:c>
      <x:c r="D90" s="11" t="str">
        <x:v>封闭题完整且取值合法，保留。</x:v>
      </x:c>
    </x:row>
    <x:row r="91">
      <x:c r="A91" s="18" t="str">
        <x:v>S089</x:v>
      </x:c>
      <x:c r="B91" s="14" t="n">
        <x:v>2</x:v>
      </x:c>
      <x:c r="C91" s="14" t="str">
        <x:v>保留</x:v>
      </x:c>
      <x:c r="D91" s="11" t="str">
        <x:v>封闭题完整且取值合法，保留。</x:v>
      </x:c>
    </x:row>
    <x:row r="92">
      <x:c r="A92" s="18" t="str">
        <x:v>S090</x:v>
      </x:c>
      <x:c r="B92" s="14" t="n">
        <x:v>2</x:v>
      </x:c>
      <x:c r="C92" s="14" t="str">
        <x:v>保留</x:v>
      </x:c>
      <x:c r="D92" s="11" t="str">
        <x:v>封闭题完整且取值合法，保留。</x:v>
      </x:c>
    </x:row>
    <x:row r="93">
      <x:c r="A93" s="18" t="str">
        <x:v>S091</x:v>
      </x:c>
      <x:c r="B93" s="14" t="n">
        <x:v>2</x:v>
      </x:c>
      <x:c r="C93" s="14" t="str">
        <x:v>保留</x:v>
      </x:c>
      <x:c r="D93" s="11" t="str">
        <x:v>封闭题完整且取值合法，保留。</x:v>
      </x:c>
    </x:row>
    <x:row r="94">
      <x:c r="A94" s="18" t="str">
        <x:v>S092</x:v>
      </x:c>
      <x:c r="B94" s="14" t="n">
        <x:v>2</x:v>
      </x:c>
      <x:c r="C94" s="14" t="str">
        <x:v>保留</x:v>
      </x:c>
      <x:c r="D94" s="11" t="str">
        <x:v>封闭题完整且取值合法，保留。</x:v>
      </x:c>
    </x:row>
    <x:row r="95">
      <x:c r="A95" s="18" t="str">
        <x:v>S093</x:v>
      </x:c>
      <x:c r="B95" s="14" t="n">
        <x:v>2</x:v>
      </x:c>
      <x:c r="C95" s="14" t="str">
        <x:v>保留</x:v>
      </x:c>
      <x:c r="D95" s="11" t="str">
        <x:v>封闭题完整且取值合法，保留。</x:v>
      </x:c>
    </x:row>
    <x:row r="96">
      <x:c r="A96" s="18" t="str">
        <x:v>S094</x:v>
      </x:c>
      <x:c r="B96" s="14" t="n">
        <x:v>2</x:v>
      </x:c>
      <x:c r="C96" s="14" t="str">
        <x:v>保留</x:v>
      </x:c>
      <x:c r="D96" s="11" t="str">
        <x:v>封闭题完整且取值合法，保留。</x:v>
      </x:c>
    </x:row>
    <x:row r="97">
      <x:c r="A97" s="18" t="str">
        <x:v>S095</x:v>
      </x:c>
      <x:c r="B97" s="14" t="n">
        <x:v>2</x:v>
      </x:c>
      <x:c r="C97" s="14" t="str">
        <x:v>保留</x:v>
      </x:c>
      <x:c r="D97" s="11" t="str">
        <x:v>封闭题完整且取值合法，保留。</x:v>
      </x:c>
    </x:row>
    <x:row r="98">
      <x:c r="A98" s="18" t="str">
        <x:v>S096</x:v>
      </x:c>
      <x:c r="B98" s="14" t="n">
        <x:v>2</x:v>
      </x:c>
      <x:c r="C98" s="14" t="str">
        <x:v>保留</x:v>
      </x:c>
      <x:c r="D98" s="11" t="str">
        <x:v>封闭题完整且取值合法，保留。</x:v>
      </x:c>
    </x:row>
    <x:row r="99">
      <x:c r="A99" s="18" t="str">
        <x:v>S097</x:v>
      </x:c>
      <x:c r="B99" s="14" t="n">
        <x:v>2</x:v>
      </x:c>
      <x:c r="C99" s="14" t="str">
        <x:v>保留</x:v>
      </x:c>
      <x:c r="D99" s="11" t="str">
        <x:v>封闭题完整且取值合法，保留。</x:v>
      </x:c>
    </x:row>
    <x:row r="100">
      <x:c r="A100" s="18" t="str">
        <x:v>S098</x:v>
      </x:c>
      <x:c r="B100" s="14" t="n">
        <x:v>2</x:v>
      </x:c>
      <x:c r="C100" s="14" t="str">
        <x:v>保留</x:v>
      </x:c>
      <x:c r="D100" s="11" t="str">
        <x:v>封闭题完整且取值合法，保留。</x:v>
      </x:c>
    </x:row>
    <x:row r="101">
      <x:c r="A101" s="19" t="str">
        <x:v>S099</x:v>
      </x:c>
      <x:c r="B101" s="15" t="n">
        <x:v>2</x:v>
      </x:c>
      <x:c r="C101" s="15" t="str">
        <x:v>保留</x:v>
      </x:c>
      <x:c r="D101" s="12" t="str">
        <x:v>封闭题完整且取值合法，保留。</x:v>
      </x:c>
    </x:row>
  </x:sheetData>
  <x:mergeCells>
    <x:mergeCell ref="A1:D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14" hidden="0" customWidth="1"/>
    <x:col min="4" max="4" width="28" hidden="0" customWidth="1"/>
    <x:col min="5" max="5" width="14" hidden="0" customWidth="1"/>
    <x:col min="6" max="6" width="78" hidden="0" customWidth="1"/>
  </x:cols>
  <x:sheetData>
    <x:row r="1" ht="28" customHeight="1">
      <x:c r="A1" s="5" t="str">
        <x:v>家长问卷逐份筛查记录</x:v>
      </x:c>
      <x:c r="B1" s="5"/>
      <x:c r="C1" s="5"/>
      <x:c r="D1" s="5"/>
      <x:c r="E1" s="5"/>
      <x:c r="F1" s="5"/>
    </x:row>
    <x:row r="2" ht="30" customHeight="1">
      <x:c r="A2" s="16" t="str">
        <x:v>样本ID</x:v>
      </x:c>
      <x:c r="B2" s="9" t="str">
        <x:v>提交时间</x:v>
      </x:c>
      <x:c r="C2" s="9" t="str">
        <x:v>用时（秒）</x:v>
      </x:c>
      <x:c r="D2" s="9" t="str">
        <x:v>脱敏IP与地区</x:v>
      </x:c>
      <x:c r="E2" s="9" t="str">
        <x:v>处理决定</x:v>
      </x:c>
      <x:c r="F2" s="9" t="str">
        <x:v>具体理由</x:v>
      </x:c>
    </x:row>
    <x:row r="3">
      <x:c r="A3" s="17" t="str">
        <x:v>P001</x:v>
      </x:c>
      <x:c r="B3" s="13" t="str">
        <x:v>2026/7/22 14:50:02</x:v>
      </x:c>
      <x:c r="C3" s="10" t="n">
        <x:v>129</x:v>
      </x:c>
      <x:c r="D3" s="10" t="str">
        <x:v>39.148.66.*(河南-商丘)</x:v>
      </x:c>
      <x:c r="E3" s="13" t="str">
        <x:v>保留</x:v>
      </x:c>
      <x:c r="F3" s="10" t="str">
        <x:v>未发现达到整份排除标准的问题。</x:v>
      </x:c>
    </x:row>
    <x:row r="4">
      <x:c r="A4" s="18" t="str">
        <x:v>P002</x:v>
      </x:c>
      <x:c r="B4" s="14" t="str">
        <x:v>2026/7/22 14:52:13</x:v>
      </x:c>
      <x:c r="C4" s="11" t="n">
        <x:v>183</x:v>
      </x:c>
      <x:c r="D4" s="11" t="str">
        <x:v>123.160.73.*(河南-商丘)</x:v>
      </x:c>
      <x:c r="E4" s="14" t="str">
        <x:v>保留</x:v>
      </x:c>
      <x:c r="F4" s="11" t="str">
        <x:v>保留；Q3表示参与过、Q4却选“没参与过”，Q4在活动评价分析中设为缺失。</x:v>
      </x:c>
    </x:row>
    <x:row r="5">
      <x:c r="A5" s="18" t="str">
        <x:v>P003</x:v>
      </x:c>
      <x:c r="B5" s="14" t="str">
        <x:v>2026/7/22 14:54:52</x:v>
      </x:c>
      <x:c r="C5" s="11" t="n">
        <x:v>179</x:v>
      </x:c>
      <x:c r="D5" s="11" t="str">
        <x:v>39.148.66.*(河南-商丘)</x:v>
      </x:c>
      <x:c r="E5" s="14" t="str">
        <x:v>保留</x:v>
      </x:c>
      <x:c r="F5" s="11" t="str">
        <x:v>未发现达到整份排除标准的问题。</x:v>
      </x:c>
    </x:row>
    <x:row r="6">
      <x:c r="A6" s="18" t="str">
        <x:v>P004</x:v>
      </x:c>
      <x:c r="B6" s="14" t="str">
        <x:v>2026/7/22 14:55:16</x:v>
      </x:c>
      <x:c r="C6" s="11" t="n">
        <x:v>326</x:v>
      </x:c>
      <x:c r="D6" s="11" t="str">
        <x:v>39.148.66.*(河南-商丘)</x:v>
      </x:c>
      <x:c r="E6" s="14" t="str">
        <x:v>保留</x:v>
      </x:c>
      <x:c r="F6" s="11" t="str">
        <x:v>未发现达到整份排除标准的问题。</x:v>
      </x:c>
    </x:row>
    <x:row r="7">
      <x:c r="A7" s="18" t="str">
        <x:v>P005</x:v>
      </x:c>
      <x:c r="B7" s="14" t="str">
        <x:v>2026/7/22 15:56:41</x:v>
      </x:c>
      <x:c r="C7" s="11" t="n">
        <x:v>314</x:v>
      </x:c>
      <x:c r="D7" s="11" t="str">
        <x:v>123.152.137.*(浙江-宁波)</x:v>
      </x:c>
      <x:c r="E7" s="14" t="str">
        <x:v>保留</x:v>
      </x:c>
      <x:c r="F7" s="11" t="str">
        <x:v>未发现达到整份排除标准的问题。</x:v>
      </x:c>
    </x:row>
    <x:row r="8">
      <x:c r="A8" s="18" t="str">
        <x:v>P006</x:v>
      </x:c>
      <x:c r="B8" s="14" t="str">
        <x:v>2026/7/22 21:20:07</x:v>
      </x:c>
      <x:c r="C8" s="11" t="n">
        <x:v>1591</x:v>
      </x:c>
      <x:c r="D8" s="11" t="str">
        <x:v>39.148.66.*(河南-商丘)</x:v>
      </x:c>
      <x:c r="E8" s="14" t="str">
        <x:v>保留</x:v>
      </x:c>
      <x:c r="F8" s="11" t="str">
        <x:v>未发现达到整份排除标准的问题。</x:v>
      </x:c>
    </x:row>
    <x:row r="9">
      <x:c r="A9" s="18" t="str">
        <x:v>P007</x:v>
      </x:c>
      <x:c r="B9" s="14" t="str">
        <x:v>2026/7/23 12:39:31</x:v>
      </x:c>
      <x:c r="C9" s="11" t="n">
        <x:v>400</x:v>
      </x:c>
      <x:c r="D9" s="11" t="str">
        <x:v>39.148.66.*(河南-商丘)</x:v>
      </x:c>
      <x:c r="E9" s="14" t="str">
        <x:v>保留</x:v>
      </x:c>
      <x:c r="F9" s="11" t="str">
        <x:v>未发现达到整份排除标准的问题。</x:v>
      </x:c>
    </x:row>
    <x:row r="10">
      <x:c r="A10" s="18" t="str">
        <x:v>P008</x:v>
      </x:c>
      <x:c r="B10" s="14" t="str">
        <x:v>2026/7/23 12:46:43</x:v>
      </x:c>
      <x:c r="C10" s="11" t="n">
        <x:v>519</x:v>
      </x:c>
      <x:c r="D10" s="11" t="str">
        <x:v>106.33.245.*(河南-郑州)</x:v>
      </x:c>
      <x:c r="E10" s="14" t="str">
        <x:v>保留</x:v>
      </x:c>
      <x:c r="F10" s="11" t="str">
        <x:v>未发现达到整份排除标准的问题。</x:v>
      </x:c>
    </x:row>
    <x:row r="11">
      <x:c r="A11" s="18" t="str">
        <x:v>P009</x:v>
      </x:c>
      <x:c r="B11" s="14" t="str">
        <x:v>2026/7/23 13:01:53</x:v>
      </x:c>
      <x:c r="C11" s="11" t="n">
        <x:v>204</x:v>
      </x:c>
      <x:c r="D11" s="11" t="str">
        <x:v>222.142.229.*(河南-商丘)</x:v>
      </x:c>
      <x:c r="E11" s="14" t="str">
        <x:v>保留</x:v>
      </x:c>
      <x:c r="F11" s="11" t="str">
        <x:v>未发现达到整份排除标准的问题。</x:v>
      </x:c>
    </x:row>
    <x:row r="12">
      <x:c r="A12" s="18" t="str">
        <x:v>P010</x:v>
      </x:c>
      <x:c r="B12" s="14" t="str">
        <x:v>2026/7/23 13:14:24</x:v>
      </x:c>
      <x:c r="C12" s="11" t="n">
        <x:v>65</x:v>
      </x:c>
      <x:c r="D12" s="11" t="str">
        <x:v>42.239.172.*(河南-商丘)</x:v>
      </x:c>
      <x:c r="E12" s="14" t="str">
        <x:v>保留</x:v>
      </x:c>
      <x:c r="F12" s="11" t="str">
        <x:v>未发现达到整份排除标准的问题。</x:v>
      </x:c>
    </x:row>
    <x:row r="13">
      <x:c r="A13" s="18" t="str">
        <x:v>P011</x:v>
      </x:c>
      <x:c r="B13" s="14" t="str">
        <x:v>2026/7/23 13:18:36</x:v>
      </x:c>
      <x:c r="C13" s="11" t="n">
        <x:v>227</x:v>
      </x:c>
      <x:c r="D13" s="11" t="str">
        <x:v>39.144.182.*(河南-新乡)</x:v>
      </x:c>
      <x:c r="E13" s="14" t="str">
        <x:v>保留</x:v>
      </x:c>
      <x:c r="F13" s="11" t="str">
        <x:v>未发现达到整份排除标准的问题。</x:v>
      </x:c>
    </x:row>
    <x:row r="14">
      <x:c r="A14" s="18" t="str">
        <x:v>P012</x:v>
      </x:c>
      <x:c r="B14" s="14" t="str">
        <x:v>2026/7/23 13:29:23</x:v>
      </x:c>
      <x:c r="C14" s="11" t="n">
        <x:v>576</x:v>
      </x:c>
      <x:c r="D14" s="11" t="str">
        <x:v>223.104.194.*(山东-济南)</x:v>
      </x:c>
      <x:c r="E14" s="14" t="str">
        <x:v>保留</x:v>
      </x:c>
      <x:c r="F14" s="11" t="str">
        <x:v>未发现达到整份排除标准的问题。</x:v>
      </x:c>
    </x:row>
    <x:row r="15">
      <x:c r="A15" s="18" t="str">
        <x:v>P013</x:v>
      </x:c>
      <x:c r="B15" s="14" t="str">
        <x:v>2026/7/23 14:54:40</x:v>
      </x:c>
      <x:c r="C15" s="11" t="n">
        <x:v>153</x:v>
      </x:c>
      <x:c r="D15" s="11" t="str">
        <x:v>42.238.155.*(河南-商丘)</x:v>
      </x:c>
      <x:c r="E15" s="14" t="str">
        <x:v>保留</x:v>
      </x:c>
      <x:c r="F15" s="11" t="str">
        <x:v>未发现达到整份排除标准的问题。</x:v>
      </x:c>
    </x:row>
    <x:row r="16">
      <x:c r="A16" s="18" t="str">
        <x:v>P014</x:v>
      </x:c>
      <x:c r="B16" s="14" t="str">
        <x:v>2026/7/23 17:37:50</x:v>
      </x:c>
      <x:c r="C16" s="11" t="n">
        <x:v>902</x:v>
      </x:c>
      <x:c r="D16" s="11" t="str">
        <x:v>39.148.66.*(河南-商丘)</x:v>
      </x:c>
      <x:c r="E16" s="14" t="str">
        <x:v>保留</x:v>
      </x:c>
      <x:c r="F16" s="11" t="str">
        <x:v>未发现达到整份排除标准的问题。</x:v>
      </x:c>
    </x:row>
    <x:row r="17">
      <x:c r="A17" s="18" t="str">
        <x:v>P015</x:v>
      </x:c>
      <x:c r="B17" s="14" t="str">
        <x:v>2026/7/23 19:58:38</x:v>
      </x:c>
      <x:c r="C17" s="11" t="n">
        <x:v>74</x:v>
      </x:c>
      <x:c r="D17" s="11" t="str">
        <x:v>39.149.139.*(河南-商丘)</x:v>
      </x:c>
      <x:c r="E17" s="14" t="str">
        <x:v>保留</x:v>
      </x:c>
      <x:c r="F17" s="11" t="str">
        <x:v>未发现达到整份排除标准的问题。</x:v>
      </x:c>
    </x:row>
    <x:row r="18">
      <x:c r="A18" s="18" t="str">
        <x:v>P016</x:v>
      </x:c>
      <x:c r="B18" s="14" t="str">
        <x:v>2026/7/23 20:20:56</x:v>
      </x:c>
      <x:c r="C18" s="11" t="n">
        <x:v>111</x:v>
      </x:c>
      <x:c r="D18" s="11" t="str">
        <x:v>42.239.129.*(河南-商丘)</x:v>
      </x:c>
      <x:c r="E18" s="14" t="str">
        <x:v>保留</x:v>
      </x:c>
      <x:c r="F18" s="11" t="str">
        <x:v>未发现达到整份排除标准的问题。</x:v>
      </x:c>
    </x:row>
    <x:row r="19">
      <x:c r="A19" s="18" t="str">
        <x:v>P017</x:v>
      </x:c>
      <x:c r="B19" s="14" t="str">
        <x:v>2026/7/24 9:31:10</x:v>
      </x:c>
      <x:c r="C19" s="11" t="n">
        <x:v>120</x:v>
      </x:c>
      <x:c r="D19" s="11" t="str">
        <x:v>120.219.105.*(河南-商丘)</x:v>
      </x:c>
      <x:c r="E19" s="14" t="str">
        <x:v>保留</x:v>
      </x:c>
      <x:c r="F19" s="11" t="str">
        <x:v>未发现达到整份排除标准的问题。</x:v>
      </x:c>
    </x:row>
    <x:row r="20">
      <x:c r="A20" s="18" t="str">
        <x:v>P018</x:v>
      </x:c>
      <x:c r="B20" s="14" t="str">
        <x:v>2026/7/24 9:42:34</x:v>
      </x:c>
      <x:c r="C20" s="11" t="n">
        <x:v>786</x:v>
      </x:c>
      <x:c r="D20" s="11" t="str">
        <x:v>39.148.66.*(河南-商丘)</x:v>
      </x:c>
      <x:c r="E20" s="14" t="str">
        <x:v>保留</x:v>
      </x:c>
      <x:c r="F20" s="11" t="str">
        <x:v>未发现达到整份排除标准的问题。</x:v>
      </x:c>
    </x:row>
    <x:row r="21">
      <x:c r="A21" s="18" t="str">
        <x:v>P019</x:v>
      </x:c>
      <x:c r="B21" s="14" t="str">
        <x:v>2026/7/24 9:57:19</x:v>
      </x:c>
      <x:c r="C21" s="11" t="n">
        <x:v>231</x:v>
      </x:c>
      <x:c r="D21" s="11" t="str">
        <x:v>223.89.254.*(河南-商丘)</x:v>
      </x:c>
      <x:c r="E21" s="14" t="str">
        <x:v>保留</x:v>
      </x:c>
      <x:c r="F21" s="11" t="str">
        <x:v>未发现达到整份排除标准的问题。</x:v>
      </x:c>
    </x:row>
    <x:row r="22">
      <x:c r="A22" s="18" t="str">
        <x:v>P020</x:v>
      </x:c>
      <x:c r="B22" s="14" t="str">
        <x:v>2026/7/24 10:50:35</x:v>
      </x:c>
      <x:c r="C22" s="11" t="n">
        <x:v>146</x:v>
      </x:c>
      <x:c r="D22" s="11" t="str">
        <x:v>39.148.66.*(河南-商丘)</x:v>
      </x:c>
      <x:c r="E22" s="14" t="str">
        <x:v>保留</x:v>
      </x:c>
      <x:c r="F22" s="11" t="str">
        <x:v>未发现达到整份排除标准的问题。</x:v>
      </x:c>
    </x:row>
    <x:row r="23">
      <x:c r="A23" s="18" t="str">
        <x:v>P021</x:v>
      </x:c>
      <x:c r="B23" s="14" t="str">
        <x:v>2026/7/24 11:16:04</x:v>
      </x:c>
      <x:c r="C23" s="11" t="n">
        <x:v>47</x:v>
      </x:c>
      <x:c r="D23" s="11" t="str">
        <x:v>39.148.66.*(河南-商丘)</x:v>
      </x:c>
      <x:c r="E23" s="14" t="str">
        <x:v>保留</x:v>
      </x:c>
      <x:c r="F23" s="11" t="str">
        <x:v>未发现达到整份排除标准的问题。</x:v>
      </x:c>
    </x:row>
    <x:row r="24">
      <x:c r="A24" s="18" t="str">
        <x:v>P022</x:v>
      </x:c>
      <x:c r="B24" s="14" t="str">
        <x:v>2026/7/24 11:18:16</x:v>
      </x:c>
      <x:c r="C24" s="11" t="n">
        <x:v>140</x:v>
      </x:c>
      <x:c r="D24" s="11" t="str">
        <x:v>123.101.225.*(河南-商丘)</x:v>
      </x:c>
      <x:c r="E24" s="14" t="str">
        <x:v>保留</x:v>
      </x:c>
      <x:c r="F24" s="11" t="str">
        <x:v>未发现达到整份排除标准的问题。</x:v>
      </x:c>
    </x:row>
    <x:row r="25">
      <x:c r="A25" s="18" t="str">
        <x:v>P023</x:v>
      </x:c>
      <x:c r="B25" s="14" t="str">
        <x:v>2026/7/24 11:18:19</x:v>
      </x:c>
      <x:c r="C25" s="11" t="n">
        <x:v>72</x:v>
      </x:c>
      <x:c r="D25" s="11" t="str">
        <x:v>39.148.66.*(河南-商丘)</x:v>
      </x:c>
      <x:c r="E25" s="14" t="str">
        <x:v>保留</x:v>
      </x:c>
      <x:c r="F25" s="11" t="str">
        <x:v>未发现达到整份排除标准的问题。</x:v>
      </x:c>
    </x:row>
    <x:row r="26">
      <x:c r="A26" s="18" t="str">
        <x:v>P024</x:v>
      </x:c>
      <x:c r="B26" s="14" t="str">
        <x:v>2026/7/24 11:18:47</x:v>
      </x:c>
      <x:c r="C26" s="11" t="n">
        <x:v>72</x:v>
      </x:c>
      <x:c r="D26" s="11" t="str">
        <x:v>39.165.167.*(河南-郑州)</x:v>
      </x:c>
      <x:c r="E26" s="14" t="str">
        <x:v>保留</x:v>
      </x:c>
      <x:c r="F26" s="11" t="str">
        <x:v>未发现达到整份排除标准的问题。</x:v>
      </x:c>
    </x:row>
    <x:row r="27">
      <x:c r="A27" s="18" t="str">
        <x:v>P025</x:v>
      </x:c>
      <x:c r="B27" s="14" t="str">
        <x:v>2026/7/24 11:19:05</x:v>
      </x:c>
      <x:c r="C27" s="11" t="n">
        <x:v>119</x:v>
      </x:c>
      <x:c r="D27" s="11" t="str">
        <x:v>42.238.158.*(河南-商丘)</x:v>
      </x:c>
      <x:c r="E27" s="14" t="str">
        <x:v>保留</x:v>
      </x:c>
      <x:c r="F27" s="11" t="str">
        <x:v>未发现达到整份排除标准的问题。</x:v>
      </x:c>
    </x:row>
    <x:row r="28">
      <x:c r="A28" s="18" t="str">
        <x:v>P026</x:v>
      </x:c>
      <x:c r="B28" s="14" t="str">
        <x:v>2026/7/24 11:19:09</x:v>
      </x:c>
      <x:c r="C28" s="11" t="n">
        <x:v>81</x:v>
      </x:c>
      <x:c r="D28" s="11" t="str">
        <x:v>42.239.173.*(河南-商丘)</x:v>
      </x:c>
      <x:c r="E28" s="14" t="str">
        <x:v>保留</x:v>
      </x:c>
      <x:c r="F28" s="11" t="str">
        <x:v>未发现达到整份排除标准的问题。</x:v>
      </x:c>
    </x:row>
    <x:row r="29">
      <x:c r="A29" s="18" t="str">
        <x:v>P027</x:v>
      </x:c>
      <x:c r="B29" s="14" t="str">
        <x:v>2026/7/24 11:19:15</x:v>
      </x:c>
      <x:c r="C29" s="11" t="n">
        <x:v>130</x:v>
      </x:c>
      <x:c r="D29" s="11" t="str">
        <x:v>39.144.21.*(河南-新乡)</x:v>
      </x:c>
      <x:c r="E29" s="14" t="str">
        <x:v>保留</x:v>
      </x:c>
      <x:c r="F29" s="11" t="str">
        <x:v>未发现达到整份排除标准的问题。</x:v>
      </x:c>
    </x:row>
    <x:row r="30">
      <x:c r="A30" s="18" t="str">
        <x:v>P028</x:v>
      </x:c>
      <x:c r="B30" s="14" t="str">
        <x:v>2026/7/24 11:19:24</x:v>
      </x:c>
      <x:c r="C30" s="11" t="n">
        <x:v>33</x:v>
      </x:c>
      <x:c r="D30" s="11" t="str">
        <x:v>39.148.66.*(河南-商丘)</x:v>
      </x:c>
      <x:c r="E30" s="14" t="str">
        <x:v>保留</x:v>
      </x:c>
      <x:c r="F30" s="11" t="str">
        <x:v>保留；用时33秒，虽为短时作答，但答案完整且未与同IP答卷高度重复。</x:v>
      </x:c>
    </x:row>
    <x:row r="31">
      <x:c r="A31" s="18" t="str">
        <x:v>P029</x:v>
      </x:c>
      <x:c r="B31" s="14" t="str">
        <x:v>2026/7/24 11:19:47</x:v>
      </x:c>
      <x:c r="C31" s="11" t="n">
        <x:v>109</x:v>
      </x:c>
      <x:c r="D31" s="11" t="str">
        <x:v>125.92.90.*(广东-江门)</x:v>
      </x:c>
      <x:c r="E31" s="14" t="str">
        <x:v>保留</x:v>
      </x:c>
      <x:c r="F31" s="11" t="str">
        <x:v>未发现达到整份排除标准的问题。</x:v>
      </x:c>
    </x:row>
    <x:row r="32">
      <x:c r="A32" s="23" t="str">
        <x:v>P030</x:v>
      </x:c>
      <x:c r="B32" s="24" t="str">
        <x:v>2026/7/24 11:19:51</x:v>
      </x:c>
      <x:c r="C32" s="23" t="n">
        <x:v>131</x:v>
      </x:c>
      <x:c r="D32" s="23" t="str">
        <x:v>42.239.129.*(河南-商丘)</x:v>
      </x:c>
      <x:c r="E32" s="24" t="str">
        <x:v>排除</x:v>
      </x:c>
      <x:c r="F32" s="23" t="str">
        <x:v>与P016同IP，7个封闭题及开放题完全一致；判定为重复提交，保留较早的P016。</x:v>
      </x:c>
    </x:row>
    <x:row r="33">
      <x:c r="A33" s="18" t="str">
        <x:v>P031</x:v>
      </x:c>
      <x:c r="B33" s="14" t="str">
        <x:v>2026/7/24 11:19:51</x:v>
      </x:c>
      <x:c r="C33" s="11" t="n">
        <x:v>140</x:v>
      </x:c>
      <x:c r="D33" s="11" t="str">
        <x:v>39.149.132.*(河南-商丘)</x:v>
      </x:c>
      <x:c r="E33" s="14" t="str">
        <x:v>保留</x:v>
      </x:c>
      <x:c r="F33" s="11" t="str">
        <x:v>未发现达到整份排除标准的问题。</x:v>
      </x:c>
    </x:row>
    <x:row r="34">
      <x:c r="A34" s="18" t="str">
        <x:v>P032</x:v>
      </x:c>
      <x:c r="B34" s="14" t="str">
        <x:v>2026/7/24 11:20:23</x:v>
      </x:c>
      <x:c r="C34" s="11" t="n">
        <x:v>96</x:v>
      </x:c>
      <x:c r="D34" s="11" t="str">
        <x:v>223.89.254.*(河南-商丘)</x:v>
      </x:c>
      <x:c r="E34" s="14" t="str">
        <x:v>保留</x:v>
      </x:c>
      <x:c r="F34" s="11" t="str">
        <x:v>未发现达到整份排除标准的问题。</x:v>
      </x:c>
    </x:row>
    <x:row r="35">
      <x:c r="A35" s="18" t="str">
        <x:v>P033</x:v>
      </x:c>
      <x:c r="B35" s="14" t="str">
        <x:v>2026/7/24 11:20:37</x:v>
      </x:c>
      <x:c r="C35" s="11" t="n">
        <x:v>240</x:v>
      </x:c>
      <x:c r="D35" s="11" t="str">
        <x:v>39.148.66.*(河南-商丘)</x:v>
      </x:c>
      <x:c r="E35" s="14" t="str">
        <x:v>保留</x:v>
      </x:c>
      <x:c r="F35" s="11" t="str">
        <x:v>未发现达到整份排除标准的问题。</x:v>
      </x:c>
    </x:row>
    <x:row r="36">
      <x:c r="A36" s="18" t="str">
        <x:v>P034</x:v>
      </x:c>
      <x:c r="B36" s="14" t="str">
        <x:v>2026/7/24 11:21:10</x:v>
      </x:c>
      <x:c r="C36" s="11" t="n">
        <x:v>94</x:v>
      </x:c>
      <x:c r="D36" s="11" t="str">
        <x:v>106.33.245.*(河南-郑州)</x:v>
      </x:c>
      <x:c r="E36" s="14" t="str">
        <x:v>保留</x:v>
      </x:c>
      <x:c r="F36" s="11" t="str">
        <x:v>未发现达到整份排除标准的问题。</x:v>
      </x:c>
    </x:row>
    <x:row r="37">
      <x:c r="A37" s="18" t="str">
        <x:v>P035</x:v>
      </x:c>
      <x:c r="B37" s="14" t="str">
        <x:v>2026/7/24 11:21:13</x:v>
      </x:c>
      <x:c r="C37" s="11" t="n">
        <x:v>140</x:v>
      </x:c>
      <x:c r="D37" s="11" t="str">
        <x:v>223.89.254.*(河南-商丘)</x:v>
      </x:c>
      <x:c r="E37" s="14" t="str">
        <x:v>保留</x:v>
      </x:c>
      <x:c r="F37" s="11" t="str">
        <x:v>未发现达到整份排除标准的问题。</x:v>
      </x:c>
    </x:row>
    <x:row r="38">
      <x:c r="A38" s="18" t="str">
        <x:v>P036</x:v>
      </x:c>
      <x:c r="B38" s="14" t="str">
        <x:v>2026/7/24 11:22:55</x:v>
      </x:c>
      <x:c r="C38" s="11" t="n">
        <x:v>101</x:v>
      </x:c>
      <x:c r="D38" s="11" t="str">
        <x:v>39.148.66.*(河南-商丘)</x:v>
      </x:c>
      <x:c r="E38" s="14" t="str">
        <x:v>保留</x:v>
      </x:c>
      <x:c r="F38" s="11" t="str">
        <x:v>未发现达到整份排除标准的问题。</x:v>
      </x:c>
    </x:row>
    <x:row r="39">
      <x:c r="A39" s="23" t="str">
        <x:v>P037</x:v>
      </x:c>
      <x:c r="B39" s="24" t="str">
        <x:v>2026/7/24 11:23:15</x:v>
      </x:c>
      <x:c r="C39" s="23" t="n">
        <x:v>50</x:v>
      </x:c>
      <x:c r="D39" s="23" t="str">
        <x:v>42.239.129.*(河南-商丘)</x:v>
      </x:c>
      <x:c r="E39" s="24" t="str">
        <x:v>排除</x:v>
      </x:c>
      <x:c r="F39" s="23" t="str">
        <x:v>与P016、P030同IP且全部作答完全一致；判定为重复提交，保留最早的P016。</x:v>
      </x:c>
    </x:row>
    <x:row r="40">
      <x:c r="A40" s="23" t="str">
        <x:v>P038</x:v>
      </x:c>
      <x:c r="B40" s="24" t="str">
        <x:v>2026/7/24 11:24:03</x:v>
      </x:c>
      <x:c r="C40" s="23" t="n">
        <x:v>31</x:v>
      </x:c>
      <x:c r="D40" s="23" t="str">
        <x:v>39.148.66.*(河南-商丘)</x:v>
      </x:c>
      <x:c r="E40" s="24" t="str">
        <x:v>排除</x:v>
      </x:c>
      <x:c r="F40" s="23" t="str">
        <x:v>与P036同IP，提交间隔约68秒，全部作答完全一致；判定为重复提交，保留P036。</x:v>
      </x:c>
    </x:row>
    <x:row r="41">
      <x:c r="A41" s="18" t="str">
        <x:v>P039</x:v>
      </x:c>
      <x:c r="B41" s="14" t="str">
        <x:v>2026/7/24 11:25:26</x:v>
      </x:c>
      <x:c r="C41" s="11" t="n">
        <x:v>62</x:v>
      </x:c>
      <x:c r="D41" s="11" t="str">
        <x:v>42.238.158.*(河南-商丘)</x:v>
      </x:c>
      <x:c r="E41" s="14" t="str">
        <x:v>保留</x:v>
      </x:c>
      <x:c r="F41" s="11" t="str">
        <x:v>未发现达到整份排除标准的问题。</x:v>
      </x:c>
    </x:row>
    <x:row r="42">
      <x:c r="A42" s="18" t="str">
        <x:v>P040</x:v>
      </x:c>
      <x:c r="B42" s="14" t="str">
        <x:v>2026/7/24 11:25:59</x:v>
      </x:c>
      <x:c r="C42" s="11" t="n">
        <x:v>224</x:v>
      </x:c>
      <x:c r="D42" s="11" t="str">
        <x:v>182.118.232.*(河南-郑州)</x:v>
      </x:c>
      <x:c r="E42" s="14" t="str">
        <x:v>保留</x:v>
      </x:c>
      <x:c r="F42" s="11" t="str">
        <x:v>未发现达到整份排除标准的问题。</x:v>
      </x:c>
    </x:row>
    <x:row r="43">
      <x:c r="A43" s="18" t="str">
        <x:v>P041</x:v>
      </x:c>
      <x:c r="B43" s="14" t="str">
        <x:v>2026/7/24 11:28:01</x:v>
      </x:c>
      <x:c r="C43" s="11" t="n">
        <x:v>180</x:v>
      </x:c>
      <x:c r="D43" s="11" t="str">
        <x:v>39.148.66.*(河南-商丘)</x:v>
      </x:c>
      <x:c r="E43" s="14" t="str">
        <x:v>保留</x:v>
      </x:c>
      <x:c r="F43" s="11" t="str">
        <x:v>未发现达到整份排除标准的问题。</x:v>
      </x:c>
    </x:row>
    <x:row r="44">
      <x:c r="A44" s="18" t="str">
        <x:v>P042</x:v>
      </x:c>
      <x:c r="B44" s="14" t="str">
        <x:v>2026/7/24 11:29:56</x:v>
      </x:c>
      <x:c r="C44" s="11" t="n">
        <x:v>233</x:v>
      </x:c>
      <x:c r="D44" s="11" t="str">
        <x:v>39.148.66.*(河南-商丘)</x:v>
      </x:c>
      <x:c r="E44" s="14" t="str">
        <x:v>保留</x:v>
      </x:c>
      <x:c r="F44" s="11" t="str">
        <x:v>未发现达到整份排除标准的问题。</x:v>
      </x:c>
    </x:row>
    <x:row r="45">
      <x:c r="A45" s="18" t="str">
        <x:v>P043</x:v>
      </x:c>
      <x:c r="B45" s="14" t="str">
        <x:v>2026/7/24 11:29:57</x:v>
      </x:c>
      <x:c r="C45" s="11" t="n">
        <x:v>158</x:v>
      </x:c>
      <x:c r="D45" s="11" t="str">
        <x:v>120.216.114.*(河南-商丘)</x:v>
      </x:c>
      <x:c r="E45" s="14" t="str">
        <x:v>保留</x:v>
      </x:c>
      <x:c r="F45" s="11" t="str">
        <x:v>未发现达到整份排除标准的问题。</x:v>
      </x:c>
    </x:row>
    <x:row r="46">
      <x:c r="A46" s="18" t="str">
        <x:v>P044</x:v>
      </x:c>
      <x:c r="B46" s="14" t="str">
        <x:v>2026/7/24 11:35:07</x:v>
      </x:c>
      <x:c r="C46" s="11" t="n">
        <x:v>216</x:v>
      </x:c>
      <x:c r="D46" s="11" t="str">
        <x:v>39.148.66.*(河南-商丘)</x:v>
      </x:c>
      <x:c r="E46" s="14" t="str">
        <x:v>保留</x:v>
      </x:c>
      <x:c r="F46" s="11" t="str">
        <x:v>未发现达到整份排除标准的问题。</x:v>
      </x:c>
    </x:row>
    <x:row r="47">
      <x:c r="A47" s="18" t="str">
        <x:v>P045</x:v>
      </x:c>
      <x:c r="B47" s="14" t="str">
        <x:v>2026/7/24 11:47:57</x:v>
      </x:c>
      <x:c r="C47" s="11" t="n">
        <x:v>178</x:v>
      </x:c>
      <x:c r="D47" s="11" t="str">
        <x:v>125.45.172.*(河南-商丘)</x:v>
      </x:c>
      <x:c r="E47" s="14" t="str">
        <x:v>保留</x:v>
      </x:c>
      <x:c r="F47" s="11" t="str">
        <x:v>未发现达到整份排除标准的问题。</x:v>
      </x:c>
    </x:row>
    <x:row r="48">
      <x:c r="A48" s="18" t="str">
        <x:v>P046</x:v>
      </x:c>
      <x:c r="B48" s="14" t="str">
        <x:v>2026/7/24 11:52:38</x:v>
      </x:c>
      <x:c r="C48" s="11" t="n">
        <x:v>237</x:v>
      </x:c>
      <x:c r="D48" s="11" t="str">
        <x:v>125.45.172.*(河南-商丘)</x:v>
      </x:c>
      <x:c r="E48" s="14" t="str">
        <x:v>保留</x:v>
      </x:c>
      <x:c r="F48" s="11" t="str">
        <x:v>未发现达到整份排除标准的问题。</x:v>
      </x:c>
    </x:row>
    <x:row r="49">
      <x:c r="A49" s="18" t="str">
        <x:v>P047</x:v>
      </x:c>
      <x:c r="B49" s="14" t="str">
        <x:v>2026/7/24 11:53:09</x:v>
      </x:c>
      <x:c r="C49" s="11" t="n">
        <x:v>113</x:v>
      </x:c>
      <x:c r="D49" s="11" t="str">
        <x:v>39.148.66.*(河南-商丘)</x:v>
      </x:c>
      <x:c r="E49" s="14" t="str">
        <x:v>保留</x:v>
      </x:c>
      <x:c r="F49" s="11" t="str">
        <x:v>未发现达到整份排除标准的问题。</x:v>
      </x:c>
    </x:row>
    <x:row r="50">
      <x:c r="A50" s="18" t="str">
        <x:v>P048</x:v>
      </x:c>
      <x:c r="B50" s="14" t="str">
        <x:v>2026/7/24 12:03:13</x:v>
      </x:c>
      <x:c r="C50" s="11" t="n">
        <x:v>101</x:v>
      </x:c>
      <x:c r="D50" s="11" t="str">
        <x:v>117.136.105.*(河南-郑州)</x:v>
      </x:c>
      <x:c r="E50" s="14" t="str">
        <x:v>保留</x:v>
      </x:c>
      <x:c r="F50" s="11" t="str">
        <x:v>未发现达到整份排除标准的问题。</x:v>
      </x:c>
    </x:row>
    <x:row r="51">
      <x:c r="A51" s="18" t="str">
        <x:v>P049</x:v>
      </x:c>
      <x:c r="B51" s="14" t="str">
        <x:v>2026/7/24 12:05:18</x:v>
      </x:c>
      <x:c r="C51" s="11" t="n">
        <x:v>272</x:v>
      </x:c>
      <x:c r="D51" s="11" t="str">
        <x:v>39.148.66.*(河南-商丘)</x:v>
      </x:c>
      <x:c r="E51" s="14" t="str">
        <x:v>保留</x:v>
      </x:c>
      <x:c r="F51" s="11" t="str">
        <x:v>未发现达到整份排除标准的问题。</x:v>
      </x:c>
    </x:row>
    <x:row r="52">
      <x:c r="A52" s="18" t="str">
        <x:v>P050</x:v>
      </x:c>
      <x:c r="B52" s="14" t="str">
        <x:v>2026/7/24 12:06:18</x:v>
      </x:c>
      <x:c r="C52" s="11" t="n">
        <x:v>475</x:v>
      </x:c>
      <x:c r="D52" s="11" t="str">
        <x:v>39.148.66.*(河南-商丘)</x:v>
      </x:c>
      <x:c r="E52" s="14" t="str">
        <x:v>保留</x:v>
      </x:c>
      <x:c r="F52" s="11" t="str">
        <x:v>未发现达到整份排除标准的问题。</x:v>
      </x:c>
    </x:row>
    <x:row r="53">
      <x:c r="A53" s="18" t="str">
        <x:v>P051</x:v>
      </x:c>
      <x:c r="B53" s="14" t="str">
        <x:v>2026/7/24 12:10:47</x:v>
      </x:c>
      <x:c r="C53" s="11" t="n">
        <x:v>110</x:v>
      </x:c>
      <x:c r="D53" s="11" t="str">
        <x:v>223.89.254.*(河南-商丘)</x:v>
      </x:c>
      <x:c r="E53" s="14" t="str">
        <x:v>保留</x:v>
      </x:c>
      <x:c r="F53" s="11" t="str">
        <x:v>未发现达到整份排除标准的问题。</x:v>
      </x:c>
    </x:row>
    <x:row r="54">
      <x:c r="A54" s="18" t="str">
        <x:v>P052</x:v>
      </x:c>
      <x:c r="B54" s="14" t="str">
        <x:v>2026/7/24 12:16:38</x:v>
      </x:c>
      <x:c r="C54" s="11" t="n">
        <x:v>462</x:v>
      </x:c>
      <x:c r="D54" s="11" t="str">
        <x:v>39.148.66.*(河南-商丘)</x:v>
      </x:c>
      <x:c r="E54" s="14" t="str">
        <x:v>保留</x:v>
      </x:c>
      <x:c r="F54" s="11" t="str">
        <x:v>保留封闭题；开放题含明显提示语和复制生成痕迹，不纳入开放题主题频次。</x:v>
      </x:c>
    </x:row>
    <x:row r="55">
      <x:c r="A55" s="18" t="str">
        <x:v>P053</x:v>
      </x:c>
      <x:c r="B55" s="14" t="str">
        <x:v>2026/7/24 12:23:06</x:v>
      </x:c>
      <x:c r="C55" s="11" t="n">
        <x:v>127</x:v>
      </x:c>
      <x:c r="D55" s="11" t="str">
        <x:v>61.158.184.*(河南-商丘)</x:v>
      </x:c>
      <x:c r="E55" s="14" t="str">
        <x:v>保留</x:v>
      </x:c>
      <x:c r="F55" s="11" t="str">
        <x:v>未发现达到整份排除标准的问题。</x:v>
      </x:c>
    </x:row>
    <x:row r="56">
      <x:c r="A56" s="18" t="str">
        <x:v>P054</x:v>
      </x:c>
      <x:c r="B56" s="14" t="str">
        <x:v>2026/7/24 12:27:11</x:v>
      </x:c>
      <x:c r="C56" s="11" t="n">
        <x:v>293</x:v>
      </x:c>
      <x:c r="D56" s="11" t="str">
        <x:v>120.219.105.*(河南-商丘)</x:v>
      </x:c>
      <x:c r="E56" s="14" t="str">
        <x:v>保留</x:v>
      </x:c>
      <x:c r="F56" s="11" t="str">
        <x:v>未发现达到整份排除标准的问题。</x:v>
      </x:c>
    </x:row>
    <x:row r="57">
      <x:c r="A57" s="18" t="str">
        <x:v>P055</x:v>
      </x:c>
      <x:c r="B57" s="14" t="str">
        <x:v>2026/7/24 12:29:57</x:v>
      </x:c>
      <x:c r="C57" s="11" t="n">
        <x:v>216</x:v>
      </x:c>
      <x:c r="D57" s="11" t="str">
        <x:v>42.231.117.*(河南-商丘)</x:v>
      </x:c>
      <x:c r="E57" s="14" t="str">
        <x:v>保留</x:v>
      </x:c>
      <x:c r="F57" s="11" t="str">
        <x:v>保留；Q3表示参与过、Q4却选“没参与过”，Q4在活动评价分析中设为缺失。</x:v>
      </x:c>
    </x:row>
    <x:row r="58">
      <x:c r="A58" s="18" t="str">
        <x:v>P056</x:v>
      </x:c>
      <x:c r="B58" s="14" t="str">
        <x:v>2026/7/24 12:30:19</x:v>
      </x:c>
      <x:c r="C58" s="11" t="n">
        <x:v>169</x:v>
      </x:c>
      <x:c r="D58" s="11" t="str">
        <x:v>39.148.66.*(河南-商丘)</x:v>
      </x:c>
      <x:c r="E58" s="14" t="str">
        <x:v>保留</x:v>
      </x:c>
      <x:c r="F58" s="11" t="str">
        <x:v>未发现达到整份排除标准的问题。</x:v>
      </x:c>
    </x:row>
    <x:row r="59">
      <x:c r="A59" s="18" t="str">
        <x:v>P057</x:v>
      </x:c>
      <x:c r="B59" s="14" t="str">
        <x:v>2026/7/24 12:35:56</x:v>
      </x:c>
      <x:c r="C59" s="11" t="n">
        <x:v>87</x:v>
      </x:c>
      <x:c r="D59" s="11" t="str">
        <x:v>39.148.66.*(河南-商丘)</x:v>
      </x:c>
      <x:c r="E59" s="14" t="str">
        <x:v>保留</x:v>
      </x:c>
      <x:c r="F59" s="11" t="str">
        <x:v>未发现达到整份排除标准的问题。</x:v>
      </x:c>
    </x:row>
    <x:row r="60">
      <x:c r="A60" s="18" t="str">
        <x:v>P058</x:v>
      </x:c>
      <x:c r="B60" s="14" t="str">
        <x:v>2026/7/24 12:51:00</x:v>
      </x:c>
      <x:c r="C60" s="11" t="n">
        <x:v>118</x:v>
      </x:c>
      <x:c r="D60" s="11" t="str">
        <x:v>39.144.184.*(河南-安阳)</x:v>
      </x:c>
      <x:c r="E60" s="14" t="str">
        <x:v>保留</x:v>
      </x:c>
      <x:c r="F60" s="11" t="str">
        <x:v>未发现达到整份排除标准的问题。</x:v>
      </x:c>
    </x:row>
    <x:row r="61">
      <x:c r="A61" s="18" t="str">
        <x:v>P059</x:v>
      </x:c>
      <x:c r="B61" s="14" t="str">
        <x:v>2026/7/24 12:54:30</x:v>
      </x:c>
      <x:c r="C61" s="11" t="n">
        <x:v>80</x:v>
      </x:c>
      <x:c r="D61" s="11" t="str">
        <x:v>171.12.192.*(河南-商丘)</x:v>
      </x:c>
      <x:c r="E61" s="14" t="str">
        <x:v>保留</x:v>
      </x:c>
      <x:c r="F61" s="11" t="str">
        <x:v>未发现达到整份排除标准的问题。</x:v>
      </x:c>
    </x:row>
    <x:row r="62">
      <x:c r="A62" s="18" t="str">
        <x:v>P060</x:v>
      </x:c>
      <x:c r="B62" s="14" t="str">
        <x:v>2026/7/24 12:54:45</x:v>
      </x:c>
      <x:c r="C62" s="11" t="n">
        <x:v>183</x:v>
      </x:c>
      <x:c r="D62" s="11" t="str">
        <x:v>171.12.194.*(河南-商丘)</x:v>
      </x:c>
      <x:c r="E62" s="14" t="str">
        <x:v>保留</x:v>
      </x:c>
      <x:c r="F62" s="11" t="str">
        <x:v>未发现达到整份排除标准的问题。</x:v>
      </x:c>
    </x:row>
    <x:row r="63">
      <x:c r="A63" s="18" t="str">
        <x:v>P061</x:v>
      </x:c>
      <x:c r="B63" s="14" t="str">
        <x:v>2026/7/24 13:15:49</x:v>
      </x:c>
      <x:c r="C63" s="11" t="n">
        <x:v>262</x:v>
      </x:c>
      <x:c r="D63" s="11" t="str">
        <x:v>125.45.172.*(河南-商丘)</x:v>
      </x:c>
      <x:c r="E63" s="14" t="str">
        <x:v>保留</x:v>
      </x:c>
      <x:c r="F63" s="11" t="str">
        <x:v>未发现达到整份排除标准的问题。</x:v>
      </x:c>
    </x:row>
    <x:row r="64">
      <x:c r="A64" s="18" t="str">
        <x:v>P062</x:v>
      </x:c>
      <x:c r="B64" s="14" t="str">
        <x:v>2026/7/24 13:16:50</x:v>
      </x:c>
      <x:c r="C64" s="11" t="n">
        <x:v>96</x:v>
      </x:c>
      <x:c r="D64" s="11" t="str">
        <x:v>120.219.105.*(河南-商丘)</x:v>
      </x:c>
      <x:c r="E64" s="14" t="str">
        <x:v>保留</x:v>
      </x:c>
      <x:c r="F64" s="11" t="str">
        <x:v>未发现达到整份排除标准的问题。</x:v>
      </x:c>
    </x:row>
    <x:row r="65">
      <x:c r="A65" s="23" t="str">
        <x:v>P063</x:v>
      </x:c>
      <x:c r="B65" s="24" t="str">
        <x:v>2026/7/24 13:17:25</x:v>
      </x:c>
      <x:c r="C65" s="23" t="n">
        <x:v>26</x:v>
      </x:c>
      <x:c r="D65" s="23" t="str">
        <x:v>120.219.105.*(河南-商丘)</x:v>
      </x:c>
      <x:c r="E65" s="24" t="str">
        <x:v>排除</x:v>
      </x:c>
      <x:c r="F65" s="23" t="str">
        <x:v>与P062同IP，提交间隔35秒，6/7个封闭题及开放题一致，仅一项评分变化，且用时26秒；判定为重复修订，保留P062。</x:v>
      </x:c>
    </x:row>
    <x:row r="66">
      <x:c r="A66" s="18" t="str">
        <x:v>P064</x:v>
      </x:c>
      <x:c r="B66" s="14" t="str">
        <x:v>2026/7/24 13:29:41</x:v>
      </x:c>
      <x:c r="C66" s="11" t="n">
        <x:v>221</x:v>
      </x:c>
      <x:c r="D66" s="11" t="str">
        <x:v>106.34.192.*(河南-郑州)</x:v>
      </x:c>
      <x:c r="E66" s="14" t="str">
        <x:v>保留</x:v>
      </x:c>
      <x:c r="F66" s="11" t="str">
        <x:v>未发现达到整份排除标准的问题。</x:v>
      </x:c>
    </x:row>
    <x:row r="67">
      <x:c r="A67" s="18" t="str">
        <x:v>P065</x:v>
      </x:c>
      <x:c r="B67" s="14" t="str">
        <x:v>2026/7/24 13:35:20</x:v>
      </x:c>
      <x:c r="C67" s="11" t="n">
        <x:v>462</x:v>
      </x:c>
      <x:c r="D67" s="11" t="str">
        <x:v>123.101.239.*(河南-商丘)</x:v>
      </x:c>
      <x:c r="E67" s="14" t="str">
        <x:v>保留</x:v>
      </x:c>
      <x:c r="F67" s="11" t="str">
        <x:v>未发现达到整份排除标准的问题。</x:v>
      </x:c>
    </x:row>
    <x:row r="68">
      <x:c r="A68" s="18" t="str">
        <x:v>P066</x:v>
      </x:c>
      <x:c r="B68" s="14" t="str">
        <x:v>2026/7/24 13:42:05</x:v>
      </x:c>
      <x:c r="C68" s="11" t="n">
        <x:v>63</x:v>
      </x:c>
      <x:c r="D68" s="11" t="str">
        <x:v>58.100.93.*(浙江-杭州)</x:v>
      </x:c>
      <x:c r="E68" s="14" t="str">
        <x:v>保留</x:v>
      </x:c>
      <x:c r="F68" s="11" t="str">
        <x:v>未发现达到整份排除标准的问题。</x:v>
      </x:c>
    </x:row>
    <x:row r="69">
      <x:c r="A69" s="18" t="str">
        <x:v>P067</x:v>
      </x:c>
      <x:c r="B69" s="14" t="str">
        <x:v>2026/7/24 13:46:53</x:v>
      </x:c>
      <x:c r="C69" s="11" t="n">
        <x:v>87</x:v>
      </x:c>
      <x:c r="D69" s="11" t="str">
        <x:v>42.231.2.*(河南-周口)</x:v>
      </x:c>
      <x:c r="E69" s="14" t="str">
        <x:v>保留</x:v>
      </x:c>
      <x:c r="F69" s="11" t="str">
        <x:v>未发现达到整份排除标准的问题。</x:v>
      </x:c>
    </x:row>
    <x:row r="70">
      <x:c r="A70" s="18" t="str">
        <x:v>P068</x:v>
      </x:c>
      <x:c r="B70" s="14" t="str">
        <x:v>2026/7/24 13:55:02</x:v>
      </x:c>
      <x:c r="C70" s="11" t="n">
        <x:v>382</x:v>
      </x:c>
      <x:c r="D70" s="11" t="str">
        <x:v>171.12.192.*(河南-商丘)</x:v>
      </x:c>
      <x:c r="E70" s="14" t="str">
        <x:v>保留</x:v>
      </x:c>
      <x:c r="F70" s="11" t="str">
        <x:v>未发现达到整份排除标准的问题。</x:v>
      </x:c>
    </x:row>
    <x:row r="71">
      <x:c r="A71" s="18" t="str">
        <x:v>P069</x:v>
      </x:c>
      <x:c r="B71" s="14" t="str">
        <x:v>2026/7/24 14:06:20</x:v>
      </x:c>
      <x:c r="C71" s="11" t="n">
        <x:v>81</x:v>
      </x:c>
      <x:c r="D71" s="11" t="str">
        <x:v>123.101.239.*(河南-商丘)</x:v>
      </x:c>
      <x:c r="E71" s="14" t="str">
        <x:v>保留</x:v>
      </x:c>
      <x:c r="F71" s="11" t="str">
        <x:v>未发现达到整份排除标准的问题。</x:v>
      </x:c>
    </x:row>
    <x:row r="72">
      <x:c r="A72" s="18" t="str">
        <x:v>P070</x:v>
      </x:c>
      <x:c r="B72" s="14" t="str">
        <x:v>2026/7/24 14:09:49</x:v>
      </x:c>
      <x:c r="C72" s="11" t="n">
        <x:v>54</x:v>
      </x:c>
      <x:c r="D72" s="11" t="str">
        <x:v>39.148.66.*(河南-商丘)</x:v>
      </x:c>
      <x:c r="E72" s="14" t="str">
        <x:v>保留</x:v>
      </x:c>
      <x:c r="F72" s="11" t="str">
        <x:v>未发现达到整份排除标准的问题。</x:v>
      </x:c>
    </x:row>
    <x:row r="73">
      <x:c r="A73" s="18" t="str">
        <x:v>P071</x:v>
      </x:c>
      <x:c r="B73" s="14" t="str">
        <x:v>2026/7/24 15:24:53</x:v>
      </x:c>
      <x:c r="C73" s="11" t="n">
        <x:v>85</x:v>
      </x:c>
      <x:c r="D73" s="11" t="str">
        <x:v>39.144.21.*(河南-新乡)</x:v>
      </x:c>
      <x:c r="E73" s="14" t="str">
        <x:v>保留</x:v>
      </x:c>
      <x:c r="F73" s="11" t="str">
        <x:v>未发现达到整份排除标准的问题。</x:v>
      </x:c>
    </x:row>
    <x:row r="74">
      <x:c r="A74" s="18" t="str">
        <x:v>P072</x:v>
      </x:c>
      <x:c r="B74" s="14" t="str">
        <x:v>2026/7/24 16:03:06</x:v>
      </x:c>
      <x:c r="C74" s="11" t="n">
        <x:v>221</x:v>
      </x:c>
      <x:c r="D74" s="11" t="str">
        <x:v>39.148.66.*(河南-商丘)</x:v>
      </x:c>
      <x:c r="E74" s="14" t="str">
        <x:v>保留</x:v>
      </x:c>
      <x:c r="F74" s="11" t="str">
        <x:v>未发现达到整份排除标准的问题。</x:v>
      </x:c>
    </x:row>
    <x:row r="75">
      <x:c r="A75" s="18" t="str">
        <x:v>P073</x:v>
      </x:c>
      <x:c r="B75" s="14" t="str">
        <x:v>2026/7/24 16:55:30</x:v>
      </x:c>
      <x:c r="C75" s="11" t="n">
        <x:v>696</x:v>
      </x:c>
      <x:c r="D75" s="11" t="str">
        <x:v>120.213.86.*(河南-三门峡)</x:v>
      </x:c>
      <x:c r="E75" s="14" t="str">
        <x:v>保留</x:v>
      </x:c>
      <x:c r="F75" s="11" t="str">
        <x:v>未发现达到整份排除标准的问题。</x:v>
      </x:c>
    </x:row>
    <x:row r="76">
      <x:c r="A76" s="18" t="str">
        <x:v>P074</x:v>
      </x:c>
      <x:c r="B76" s="14" t="str">
        <x:v>2026/7/24 17:19:49</x:v>
      </x:c>
      <x:c r="C76" s="11" t="n">
        <x:v>93</x:v>
      </x:c>
      <x:c r="D76" s="11" t="str">
        <x:v>223.64.46.*(江苏-苏州)</x:v>
      </x:c>
      <x:c r="E76" s="14" t="str">
        <x:v>保留</x:v>
      </x:c>
      <x:c r="F76" s="11" t="str">
        <x:v>未发现达到整份排除标准的问题。</x:v>
      </x:c>
    </x:row>
    <x:row r="77">
      <x:c r="A77" s="18" t="str">
        <x:v>P075</x:v>
      </x:c>
      <x:c r="B77" s="14" t="str">
        <x:v>2026/7/24 18:59:44</x:v>
      </x:c>
      <x:c r="C77" s="11" t="n">
        <x:v>383</x:v>
      </x:c>
      <x:c r="D77" s="11" t="str">
        <x:v>123.101.239.*(河南-商丘)</x:v>
      </x:c>
      <x:c r="E77" s="14" t="str">
        <x:v>保留</x:v>
      </x:c>
      <x:c r="F77" s="11" t="str">
        <x:v>未发现达到整份排除标准的问题。</x:v>
      </x:c>
    </x:row>
    <x:row r="78">
      <x:c r="A78" s="18" t="str">
        <x:v>P076</x:v>
      </x:c>
      <x:c r="B78" s="14" t="str">
        <x:v>2026/7/24 19:19:34</x:v>
      </x:c>
      <x:c r="C78" s="11" t="n">
        <x:v>169</x:v>
      </x:c>
      <x:c r="D78" s="11" t="str">
        <x:v>106.34.132.*(河南-郑州)</x:v>
      </x:c>
      <x:c r="E78" s="14" t="str">
        <x:v>保留</x:v>
      </x:c>
      <x:c r="F78" s="11" t="str">
        <x:v>未发现达到整份排除标准的问题。</x:v>
      </x:c>
    </x:row>
    <x:row r="79">
      <x:c r="A79" s="18" t="str">
        <x:v>P077</x:v>
      </x:c>
      <x:c r="B79" s="14" t="str">
        <x:v>2026/7/24 19:25:30</x:v>
      </x:c>
      <x:c r="C79" s="11" t="n">
        <x:v>85</x:v>
      </x:c>
      <x:c r="D79" s="11" t="str">
        <x:v>39.148.66.*(河南-商丘)</x:v>
      </x:c>
      <x:c r="E79" s="14" t="str">
        <x:v>保留</x:v>
      </x:c>
      <x:c r="F79" s="11" t="str">
        <x:v>未发现达到整份排除标准的问题。</x:v>
      </x:c>
    </x:row>
    <x:row r="80">
      <x:c r="A80" s="18" t="str">
        <x:v>P078</x:v>
      </x:c>
      <x:c r="B80" s="14" t="str">
        <x:v>2026/7/24 20:17:19</x:v>
      </x:c>
      <x:c r="C80" s="11" t="n">
        <x:v>514</x:v>
      </x:c>
      <x:c r="D80" s="11" t="str">
        <x:v>119.103.150.*(湖北-武汉)</x:v>
      </x:c>
      <x:c r="E80" s="14" t="str">
        <x:v>保留</x:v>
      </x:c>
      <x:c r="F80" s="11" t="str">
        <x:v>未发现达到整份排除标准的问题。</x:v>
      </x:c>
    </x:row>
    <x:row r="81">
      <x:c r="A81" s="18" t="str">
        <x:v>P079</x:v>
      </x:c>
      <x:c r="B81" s="14" t="str">
        <x:v>2026/7/24 20:29:27</x:v>
      </x:c>
      <x:c r="C81" s="11" t="n">
        <x:v>121</x:v>
      </x:c>
      <x:c r="D81" s="11" t="str">
        <x:v>223.104.54.*(福建-福州)</x:v>
      </x:c>
      <x:c r="E81" s="14" t="str">
        <x:v>保留</x:v>
      </x:c>
      <x:c r="F81" s="11" t="str">
        <x:v>未发现达到整份排除标准的问题。</x:v>
      </x:c>
    </x:row>
    <x:row r="82">
      <x:c r="A82" s="18" t="str">
        <x:v>P080</x:v>
      </x:c>
      <x:c r="B82" s="14" t="str">
        <x:v>2026/7/24 20:30:28</x:v>
      </x:c>
      <x:c r="C82" s="11" t="n">
        <x:v>43</x:v>
      </x:c>
      <x:c r="D82" s="11" t="str">
        <x:v>223.104.54.*(福建-福州)</x:v>
      </x:c>
      <x:c r="E82" s="14" t="str">
        <x:v>保留</x:v>
      </x:c>
      <x:c r="F82" s="11" t="str">
        <x:v>保留；用时43秒且与同IP答卷时间接近，但两项评分及开放题均不同，证据不足以判定重复。</x:v>
      </x:c>
    </x:row>
    <x:row r="83">
      <x:c r="A83" s="18" t="str">
        <x:v>P081</x:v>
      </x:c>
      <x:c r="B83" s="14" t="str">
        <x:v>2026/7/24 20:39:27</x:v>
      </x:c>
      <x:c r="C83" s="11" t="n">
        <x:v>271</x:v>
      </x:c>
      <x:c r="D83" s="11" t="str">
        <x:v>182.127.10.*(河南-商丘)</x:v>
      </x:c>
      <x:c r="E83" s="14" t="str">
        <x:v>保留</x:v>
      </x:c>
      <x:c r="F83" s="11" t="str">
        <x:v>未发现达到整份排除标准的问题。</x:v>
      </x:c>
    </x:row>
    <x:row r="84">
      <x:c r="A84" s="18" t="str">
        <x:v>P082</x:v>
      </x:c>
      <x:c r="B84" s="14" t="str">
        <x:v>2026/7/24 20:51:56</x:v>
      </x:c>
      <x:c r="C84" s="11" t="n">
        <x:v>91</x:v>
      </x:c>
      <x:c r="D84" s="11" t="str">
        <x:v>39.148.66.*(河南-商丘)</x:v>
      </x:c>
      <x:c r="E84" s="14" t="str">
        <x:v>保留</x:v>
      </x:c>
      <x:c r="F84" s="11" t="str">
        <x:v>未发现达到整份排除标准的问题。</x:v>
      </x:c>
    </x:row>
    <x:row r="85">
      <x:c r="A85" s="18" t="str">
        <x:v>P083</x:v>
      </x:c>
      <x:c r="B85" s="14" t="str">
        <x:v>2026/7/24 21:06:09</x:v>
      </x:c>
      <x:c r="C85" s="11" t="n">
        <x:v>225</x:v>
      </x:c>
      <x:c r="D85" s="11" t="str">
        <x:v>106.34.148.*(河南-郑州)</x:v>
      </x:c>
      <x:c r="E85" s="14" t="str">
        <x:v>保留</x:v>
      </x:c>
      <x:c r="F85" s="11" t="str">
        <x:v>未发现达到整份排除标准的问题。</x:v>
      </x:c>
    </x:row>
    <x:row r="86">
      <x:c r="A86" s="18" t="str">
        <x:v>P084</x:v>
      </x:c>
      <x:c r="B86" s="14" t="str">
        <x:v>2026/7/24 22:53:07</x:v>
      </x:c>
      <x:c r="C86" s="11" t="n">
        <x:v>138</x:v>
      </x:c>
      <x:c r="D86" s="11" t="str">
        <x:v>120.231.105.*(广东-中山)</x:v>
      </x:c>
      <x:c r="E86" s="14" t="str">
        <x:v>保留</x:v>
      </x:c>
      <x:c r="F86" s="11" t="str">
        <x:v>未发现达到整份排除标准的问题。</x:v>
      </x:c>
    </x:row>
    <x:row r="87">
      <x:c r="A87" s="18" t="str">
        <x:v>P085</x:v>
      </x:c>
      <x:c r="B87" s="14" t="str">
        <x:v>2026/7/25 10:08:39</x:v>
      </x:c>
      <x:c r="C87" s="11" t="n">
        <x:v>244</x:v>
      </x:c>
      <x:c r="D87" s="11" t="str">
        <x:v>120.219.105.*(河南-商丘)</x:v>
      </x:c>
      <x:c r="E87" s="14" t="str">
        <x:v>保留</x:v>
      </x:c>
      <x:c r="F87" s="11" t="str">
        <x:v>未发现达到整份排除标准的问题。</x:v>
      </x:c>
    </x:row>
    <x:row r="88">
      <x:c r="A88" s="18" t="str">
        <x:v>P086</x:v>
      </x:c>
      <x:c r="B88" s="14" t="str">
        <x:v>2026/7/25 10:15:13</x:v>
      </x:c>
      <x:c r="C88" s="11" t="n">
        <x:v>461</x:v>
      </x:c>
      <x:c r="D88" s="11" t="str">
        <x:v>39.148.66.*(河南-商丘)</x:v>
      </x:c>
      <x:c r="E88" s="14" t="str">
        <x:v>保留</x:v>
      </x:c>
      <x:c r="F88" s="11" t="str">
        <x:v>未发现达到整份排除标准的问题。</x:v>
      </x:c>
    </x:row>
    <x:row r="89">
      <x:c r="A89" s="18" t="str">
        <x:v>P087</x:v>
      </x:c>
      <x:c r="B89" s="14" t="str">
        <x:v>2026/7/25 11:31:25</x:v>
      </x:c>
      <x:c r="C89" s="11" t="n">
        <x:v>158</x:v>
      </x:c>
      <x:c r="D89" s="11" t="str">
        <x:v>117.61.29.*(北京-北京)</x:v>
      </x:c>
      <x:c r="E89" s="14" t="str">
        <x:v>保留</x:v>
      </x:c>
      <x:c r="F89" s="11" t="str">
        <x:v>未发现达到整份排除标准的问题。</x:v>
      </x:c>
    </x:row>
    <x:row r="90">
      <x:c r="A90" s="18" t="str">
        <x:v>P088</x:v>
      </x:c>
      <x:c r="B90" s="14" t="str">
        <x:v>2026/7/25 14:38:27</x:v>
      </x:c>
      <x:c r="C90" s="11" t="n">
        <x:v>102</x:v>
      </x:c>
      <x:c r="D90" s="11" t="str">
        <x:v>39.144.212.*(甘肃-酒泉)</x:v>
      </x:c>
      <x:c r="E90" s="14" t="str">
        <x:v>保留</x:v>
      </x:c>
      <x:c r="F90" s="11" t="str">
        <x:v>未发现达到整份排除标准的问题。</x:v>
      </x:c>
    </x:row>
    <x:row r="91">
      <x:c r="A91" s="18" t="str">
        <x:v>P089</x:v>
      </x:c>
      <x:c r="B91" s="14" t="str">
        <x:v>2026/7/26 20:04:45</x:v>
      </x:c>
      <x:c r="C91" s="11" t="n">
        <x:v>2251</x:v>
      </x:c>
      <x:c r="D91" s="11" t="str">
        <x:v>39.149.139.*(河南-商丘)</x:v>
      </x:c>
      <x:c r="E91" s="14" t="str">
        <x:v>保留</x:v>
      </x:c>
      <x:c r="F91" s="11" t="str">
        <x:v>未发现达到整份排除标准的问题。</x:v>
      </x:c>
    </x:row>
    <x:row r="92">
      <x:c r="A92" s="18" t="str">
        <x:v>P090</x:v>
      </x:c>
      <x:c r="B92" s="14" t="str">
        <x:v>2026/7/27 7:14:46</x:v>
      </x:c>
      <x:c r="C92" s="11" t="n">
        <x:v>133</x:v>
      </x:c>
      <x:c r="D92" s="11" t="str">
        <x:v>39.144.89.*(河北-石家庄)</x:v>
      </x:c>
      <x:c r="E92" s="14" t="str">
        <x:v>保留</x:v>
      </x:c>
      <x:c r="F92" s="11" t="str">
        <x:v>未发现达到整份排除标准的问题。</x:v>
      </x:c>
    </x:row>
    <x:row r="93">
      <x:c r="A93" s="19" t="str">
        <x:v>P091</x:v>
      </x:c>
      <x:c r="B93" s="15" t="str">
        <x:v>2026/7/27 19:38:44</x:v>
      </x:c>
      <x:c r="C93" s="12" t="n">
        <x:v>96</x:v>
      </x:c>
      <x:c r="D93" s="12" t="str">
        <x:v>171.12.66.*(河南-开封)</x:v>
      </x:c>
      <x:c r="E93" s="15" t="str">
        <x:v>保留</x:v>
      </x:c>
      <x:c r="F93" s="12" t="str">
        <x:v>未发现达到整份排除标准的问题。</x:v>
      </x:c>
    </x:row>
  </x:sheetData>
  <x:mergeCells>
    <x:mergeCell ref="A1:F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28" hidden="0" customWidth="1"/>
    <x:col min="4" max="4" width="14" hidden="0" customWidth="1"/>
    <x:col min="5" max="5" width="84" hidden="0" customWidth="1"/>
  </x:cols>
  <x:sheetData>
    <x:row r="1" ht="28" customHeight="1">
      <x:c r="A1" s="5" t="str">
        <x:v>教师问卷逐份筛查记录</x:v>
      </x:c>
      <x:c r="B1" s="5"/>
      <x:c r="C1" s="5"/>
      <x:c r="D1" s="5"/>
      <x:c r="E1" s="5"/>
    </x:row>
    <x:row r="2" ht="30" customHeight="1">
      <x:c r="A2" s="16" t="str">
        <x:v>样本ID</x:v>
      </x:c>
      <x:c r="B2" s="9" t="str">
        <x:v>用时（秒）</x:v>
      </x:c>
      <x:c r="C2" s="9" t="str">
        <x:v>脱敏IP与地区</x:v>
      </x:c>
      <x:c r="D2" s="9" t="str">
        <x:v>处理决定</x:v>
      </x:c>
      <x:c r="E2" s="9" t="str">
        <x:v>具体理由</x:v>
      </x:c>
    </x:row>
    <x:row r="3">
      <x:c r="A3" s="17" t="str">
        <x:v>T001</x:v>
      </x:c>
      <x:c r="B3" s="13" t="n">
        <x:v>354</x:v>
      </x:c>
      <x:c r="C3" s="10" t="str">
        <x:v>39.148.66.*(河南-商丘)</x:v>
      </x:c>
      <x:c r="D3" s="13" t="str">
        <x:v>保留</x:v>
      </x:c>
      <x:c r="E3" s="10" t="str">
        <x:v>未发现重复、人口学不可能值或整份机械作答，保留。</x:v>
      </x:c>
    </x:row>
    <x:row r="4">
      <x:c r="A4" s="18" t="str">
        <x:v>T002</x:v>
      </x:c>
      <x:c r="B4" s="14" t="n">
        <x:v>2592</x:v>
      </x:c>
      <x:c r="C4" s="11" t="str">
        <x:v>223.90.189.*(河南-开封)</x:v>
      </x:c>
      <x:c r="D4" s="14" t="str">
        <x:v>保留</x:v>
      </x:c>
      <x:c r="E4" s="11" t="str">
        <x:v>未发现重复、人口学不可能值或整份机械作答，保留。 Q14选择“学校没有心理健康教育教师”，Q15—Q19按结构性缺失处理。 Q32同时选择实质选项与“不清楚”，编码时删除“不清楚”标记，保留实质选项。</x:v>
      </x:c>
    </x:row>
    <x:row r="5">
      <x:c r="A5" s="18" t="str">
        <x:v>T003</x:v>
      </x:c>
      <x:c r="B5" s="14" t="n">
        <x:v>832</x:v>
      </x:c>
      <x:c r="C5" s="11" t="str">
        <x:v>39.148.66.*(河南-商丘)</x:v>
      </x:c>
      <x:c r="D5" s="14" t="str">
        <x:v>保留</x:v>
      </x:c>
      <x:c r="E5" s="11" t="str">
        <x:v>未发现重复、人口学不可能值或整份机械作答，保留。</x:v>
      </x:c>
    </x:row>
    <x:row r="6">
      <x:c r="A6" s="18" t="str">
        <x:v>T004</x:v>
      </x:c>
      <x:c r="B6" s="14" t="n">
        <x:v>637</x:v>
      </x:c>
      <x:c r="C6" s="11" t="str">
        <x:v>180.157.20.*(上海-上海)</x:v>
      </x:c>
      <x:c r="D6" s="14" t="str">
        <x:v>保留</x:v>
      </x:c>
      <x:c r="E6" s="11" t="str">
        <x:v>未发现重复、人口学不可能值或整份机械作答，保留。</x:v>
      </x:c>
    </x:row>
    <x:row r="7">
      <x:c r="A7" s="18" t="str">
        <x:v>T005</x:v>
      </x:c>
      <x:c r="B7" s="14" t="n">
        <x:v>394</x:v>
      </x:c>
      <x:c r="C7" s="11" t="str">
        <x:v>222.142.194.*(河南-商丘)</x:v>
      </x:c>
      <x:c r="D7" s="14" t="str">
        <x:v>保留</x:v>
      </x:c>
      <x:c r="E7" s="11" t="str">
        <x:v>未发现重复、人口学不可能值或整份机械作答，保留。</x:v>
      </x:c>
    </x:row>
    <x:row r="8">
      <x:c r="A8" s="18" t="str">
        <x:v>T006</x:v>
      </x:c>
      <x:c r="B8" s="14" t="n">
        <x:v>406</x:v>
      </x:c>
      <x:c r="C8" s="11" t="str">
        <x:v>39.185.223.*(浙江-宁波)</x:v>
      </x:c>
      <x:c r="D8" s="14" t="str">
        <x:v>保留</x:v>
      </x:c>
      <x:c r="E8" s="11" t="str">
        <x:v>未发现重复、人口学不可能值或整份机械作答，保留。</x:v>
      </x:c>
    </x:row>
    <x:row r="9">
      <x:c r="A9" s="18" t="str">
        <x:v>T007</x:v>
      </x:c>
      <x:c r="B9" s="14" t="n">
        <x:v>406</x:v>
      </x:c>
      <x:c r="C9" s="11" t="str">
        <x:v>39.144.177.*(河南-洛阳)</x:v>
      </x:c>
      <x:c r="D9" s="14" t="str">
        <x:v>保留</x:v>
      </x:c>
      <x:c r="E9" s="11" t="str">
        <x:v>未发现重复、人口学不可能值或整份机械作答，保留。 Q14选择“学校没有心理健康教育教师”，Q15—Q19按结构性缺失处理。</x:v>
      </x:c>
    </x:row>
    <x:row r="10">
      <x:c r="A10" s="18" t="str">
        <x:v>T008</x:v>
      </x:c>
      <x:c r="B10" s="14" t="n">
        <x:v>630</x:v>
      </x:c>
      <x:c r="C10" s="11" t="str">
        <x:v>39.165.167.*(河南-郑州)</x:v>
      </x:c>
      <x:c r="D10" s="14" t="str">
        <x:v>保留</x:v>
      </x:c>
      <x:c r="E10" s="11" t="str">
        <x:v>未发现重复、人口学不可能值或整份机械作答，保留。</x:v>
      </x:c>
    </x:row>
    <x:row r="11">
      <x:c r="A11" s="18" t="str">
        <x:v>T009</x:v>
      </x:c>
      <x:c r="B11" s="14" t="n">
        <x:v>290</x:v>
      </x:c>
      <x:c r="C11" s="11" t="str">
        <x:v>39.149.132.*(河南-商丘)</x:v>
      </x:c>
      <x:c r="D11" s="14" t="str">
        <x:v>保留</x:v>
      </x:c>
      <x:c r="E11" s="11" t="str">
        <x:v>未发现重复、人口学不可能值或整份机械作答，保留。 Q14选择“学校没有心理健康教育教师”，Q15—Q19按结构性缺失处理。</x:v>
      </x:c>
    </x:row>
    <x:row r="12">
      <x:c r="A12" s="18" t="str">
        <x:v>T010</x:v>
      </x:c>
      <x:c r="B12" s="14" t="n">
        <x:v>257</x:v>
      </x:c>
      <x:c r="C12" s="11" t="str">
        <x:v>39.148.66.*(河南-商丘)</x:v>
      </x:c>
      <x:c r="D12" s="14" t="str">
        <x:v>保留</x:v>
      </x:c>
      <x:c r="E12" s="11" t="str">
        <x:v>未发现重复、人口学不可能值或整份机械作答，保留。</x:v>
      </x:c>
    </x:row>
    <x:row r="13">
      <x:c r="A13" s="18" t="str">
        <x:v>T011</x:v>
      </x:c>
      <x:c r="B13" s="14" t="n">
        <x:v>786</x:v>
      </x:c>
      <x:c r="C13" s="11" t="str">
        <x:v>171.10.185.*(河南-郑州)</x:v>
      </x:c>
      <x:c r="D13" s="14" t="str">
        <x:v>保留</x:v>
      </x:c>
      <x:c r="E13" s="11" t="str">
        <x:v>未发现重复、人口学不可能值或整份机械作答，保留。</x:v>
      </x:c>
    </x:row>
    <x:row r="14">
      <x:c r="A14" s="18" t="str">
        <x:v>T012</x:v>
      </x:c>
      <x:c r="B14" s="14" t="n">
        <x:v>1310</x:v>
      </x:c>
      <x:c r="C14" s="11" t="str">
        <x:v>39.165.167.*(河南-郑州)</x:v>
      </x:c>
      <x:c r="D14" s="14" t="str">
        <x:v>保留</x:v>
      </x:c>
      <x:c r="E14" s="11" t="str">
        <x:v>未发现重复、人口学不可能值或整份机械作答，保留。</x:v>
      </x:c>
    </x:row>
    <x:row r="15">
      <x:c r="A15" s="18" t="str">
        <x:v>T013</x:v>
      </x:c>
      <x:c r="B15" s="14" t="n">
        <x:v>418</x:v>
      </x:c>
      <x:c r="C15" s="11" t="str">
        <x:v>39.165.167.*(河南-郑州)</x:v>
      </x:c>
      <x:c r="D15" s="14" t="str">
        <x:v>保留</x:v>
      </x:c>
      <x:c r="E15" s="11" t="str">
        <x:v>未发现重复、人口学不可能值或整份机械作答，保留。</x:v>
      </x:c>
    </x:row>
    <x:row r="16">
      <x:c r="A16" s="18" t="str">
        <x:v>T014</x:v>
      </x:c>
      <x:c r="B16" s="14" t="n">
        <x:v>632</x:v>
      </x:c>
      <x:c r="C16" s="11" t="str">
        <x:v>39.144.21.*(河南-新乡)</x:v>
      </x:c>
      <x:c r="D16" s="14" t="str">
        <x:v>保留</x:v>
      </x:c>
      <x:c r="E16" s="11" t="str">
        <x:v>未发现重复、人口学不可能值或整份机械作答，保留。</x:v>
      </x:c>
    </x:row>
    <x:row r="17">
      <x:c r="A17" s="18" t="str">
        <x:v>T015</x:v>
      </x:c>
      <x:c r="B17" s="14" t="n">
        <x:v>438</x:v>
      </x:c>
      <x:c r="C17" s="11" t="str">
        <x:v>223.88.21.*(河南-郑州)</x:v>
      </x:c>
      <x:c r="D17" s="14" t="str">
        <x:v>保留</x:v>
      </x:c>
      <x:c r="E17" s="11" t="str">
        <x:v>未发现重复、人口学不可能值或整份机械作答，保留。</x:v>
      </x:c>
    </x:row>
    <x:row r="18">
      <x:c r="A18" s="18" t="str">
        <x:v>T016</x:v>
      </x:c>
      <x:c r="B18" s="14" t="n">
        <x:v>547</x:v>
      </x:c>
      <x:c r="C18" s="11" t="str">
        <x:v>39.149.139.*(河南-商丘)</x:v>
      </x:c>
      <x:c r="D18" s="14" t="str">
        <x:v>保留</x:v>
      </x:c>
      <x:c r="E18" s="11" t="str">
        <x:v>未发现重复、人口学不可能值或整份机械作答，保留。</x:v>
      </x:c>
    </x:row>
    <x:row r="19">
      <x:c r="A19" s="19" t="str">
        <x:v>T017</x:v>
      </x:c>
      <x:c r="B19" s="15" t="n">
        <x:v>541</x:v>
      </x:c>
      <x:c r="C19" s="12" t="str">
        <x:v>223.89.246.*(河南-商丘)</x:v>
      </x:c>
      <x:c r="D19" s="15" t="str">
        <x:v>保留</x:v>
      </x:c>
      <x:c r="E19" s="12" t="str">
        <x:v>未发现重复、人口学不可能值或整份机械作答，保留。</x:v>
      </x:c>
    </x:row>
  </x:sheetData>
  <x:mergeCells>
    <x:mergeCell ref="A1:E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18" hidden="0" customWidth="1"/>
    <x:col min="4" max="4" width="34" hidden="0" customWidth="1"/>
    <x:col min="5" max="5" width="42" hidden="0" customWidth="1"/>
    <x:col min="6" max="6" width="42" hidden="0" customWidth="1"/>
    <x:col min="7" max="7" width="40" hidden="0" customWidth="1"/>
  </x:cols>
  <x:sheetData>
    <x:row r="1" ht="28" customHeight="1">
      <x:c r="A1" s="5" t="str">
        <x:v>学生问卷量化变量编码说明</x:v>
      </x:c>
      <x:c r="B1" s="5"/>
      <x:c r="C1" s="5"/>
      <x:c r="D1" s="5"/>
      <x:c r="E1" s="5"/>
      <x:c r="F1" s="5"/>
      <x:c r="G1" s="5"/>
    </x:row>
    <x:row r="2" ht="30" customHeight="1">
      <x:c r="A2" s="16" t="str">
        <x:v>变量名</x:v>
      </x:c>
      <x:c r="B2" s="9" t="str">
        <x:v>原题/来源</x:v>
      </x:c>
      <x:c r="C2" s="9" t="str">
        <x:v>变量类型</x:v>
      </x:c>
      <x:c r="D2" s="9" t="str">
        <x:v>原始编码</x:v>
      </x:c>
      <x:c r="E2" s="9" t="str">
        <x:v>分析编码</x:v>
      </x:c>
      <x:c r="F2" s="9" t="str">
        <x:v>缺失与质量处理</x:v>
      </x:c>
      <x:c r="G2" s="9" t="str">
        <x:v>结论用途</x:v>
      </x:c>
    </x:row>
    <x:row r="3">
      <x:c r="A3" s="17" t="str">
        <x:v>STUDENT_ID</x:v>
      </x:c>
      <x:c r="B3" s="10" t="str">
        <x:v>系统生成</x:v>
      </x:c>
      <x:c r="C3" s="10" t="str">
        <x:v>标识变量</x:v>
      </x:c>
      <x:c r="D3" s="10" t="str">
        <x:v>S001—S099</x:v>
      </x:c>
      <x:c r="E3" s="10" t="str">
        <x:v>仅用于追踪，不参与统计</x:v>
      </x:c>
      <x:c r="F3" s="10" t="str">
        <x:v>保证原始行与清洗数据可追溯</x:v>
      </x:c>
      <x:c r="G3" s="10" t="str">
        <x:v>质量控制</x:v>
      </x:c>
    </x:row>
    <x:row r="4">
      <x:c r="A4" s="18" t="str">
        <x:v>S_GRADE</x:v>
      </x:c>
      <x:c r="B4" s="11" t="str">
        <x:v>年级</x:v>
      </x:c>
      <x:c r="C4" s="11" t="str">
        <x:v>分类变量</x:v>
      </x:c>
      <x:c r="D4" s="11" t="str">
        <x:v>1/2/3（按原表编码）</x:v>
      </x:c>
      <x:c r="E4" s="11" t="str">
        <x:v>作为三组年级比较变量；正式报告前确认与实际年级名称的对应</x:v>
      </x:c>
      <x:c r="F4" s="11" t="str">
        <x:v>不把编码1/2/3直接写成七/八/九年级，除非获得确认</x:v>
      </x:c>
      <x:c r="G4" s="11" t="str">
        <x:v>不同年级的了解度、满意度及需求是否不同</x:v>
      </x:c>
    </x:row>
    <x:row r="5">
      <x:c r="A5" s="18" t="str">
        <x:v>S_Q1_UNDERSTAND</x:v>
      </x:c>
      <x:c r="B5" s="11" t="str">
        <x:v>对学校心理健康教育的了解程度</x:v>
      </x:c>
      <x:c r="C5" s="11" t="str">
        <x:v>5点有序变量</x:v>
      </x:c>
      <x:c r="D5" s="11" t="str">
        <x:v>1=非常不了解，2=基本不了解，3=一般，4=基本了解，5=非常了解</x:v>
      </x:c>
      <x:c r="E5" s="11" t="str">
        <x:v>高分表示了解更多；同时生成S_Q1_HIGH（≥4=1）</x:v>
      </x:c>
      <x:c r="F5" s="11" t="str">
        <x:v>合法范围1—5；本数据无缺失</x:v>
      </x:c>
      <x:c r="G5" s="11" t="str">
        <x:v>学校心理健康教育的可见度是否足够</x:v>
      </x:c>
    </x:row>
    <x:row r="6">
      <x:c r="A6" s="18" t="str">
        <x:v>S_Q2_SATISFY</x:v>
      </x:c>
      <x:c r="B6" s="11" t="str">
        <x:v>对学校心理健康教育的满意程度</x:v>
      </x:c>
      <x:c r="C6" s="11" t="str">
        <x:v>5点有序变量</x:v>
      </x:c>
      <x:c r="D6" s="11" t="str">
        <x:v>1=非常不满意，2=较不满意，3=一般，4=较满意，5=非常满意</x:v>
      </x:c>
      <x:c r="E6" s="11" t="str">
        <x:v>高分表示更满意；同时生成S_Q2_HIGH（≥4=1）</x:v>
      </x:c>
      <x:c r="F6" s="11" t="str">
        <x:v>合法范围1—5；本数据无缺失</x:v>
      </x:c>
      <x:c r="G6" s="11" t="str">
        <x:v>学生总体认可度及年级差异</x:v>
      </x:c>
    </x:row>
    <x:row r="7">
      <x:c r="A7" s="18" t="str">
        <x:v>S_Q1_HIGH</x:v>
      </x:c>
      <x:c r="B7" s="11" t="str">
        <x:v>由S_Q1_UNDERSTAND派生</x:v>
      </x:c>
      <x:c r="C7" s="11" t="str">
        <x:v>二元变量</x:v>
      </x:c>
      <x:c r="D7" s="11" t="str">
        <x:v>不适用</x:v>
      </x:c>
      <x:c r="E7" s="11" t="str">
        <x:v>S_Q1_UNDERSTAND≥4记1，否则记0</x:v>
      </x:c>
      <x:c r="F7" s="11" t="str">
        <x:v>仅在原题合法且非缺失时生成</x:v>
      </x:c>
      <x:c r="G7" s="11" t="str">
        <x:v>了解度较高比例</x:v>
      </x:c>
    </x:row>
    <x:row r="8">
      <x:c r="A8" s="18" t="str">
        <x:v>S_Q2_HIGH</x:v>
      </x:c>
      <x:c r="B8" s="11" t="str">
        <x:v>由S_Q2_SATISFY派生</x:v>
      </x:c>
      <x:c r="C8" s="11" t="str">
        <x:v>二元变量</x:v>
      </x:c>
      <x:c r="D8" s="11" t="str">
        <x:v>不适用</x:v>
      </x:c>
      <x:c r="E8" s="11" t="str">
        <x:v>S_Q2_SATISFY≥4记1，否则记0</x:v>
      </x:c>
      <x:c r="F8" s="11" t="str">
        <x:v>仅在原题合法且非缺失时生成</x:v>
      </x:c>
      <x:c r="G8" s="11" t="str">
        <x:v>满意度较高比例</x:v>
      </x:c>
    </x:row>
    <x:row r="9">
      <x:c r="A9" s="18" t="str">
        <x:v>S_Q3_TOPIC_TEXT</x:v>
      </x:c>
      <x:c r="B9" s="11" t="str">
        <x:v>喜欢的心理健康教育课程主题</x:v>
      </x:c>
      <x:c r="C9" s="11" t="str">
        <x:v>开放题</x:v>
      </x:c>
      <x:c r="D9" s="11" t="str">
        <x:v>原始文本</x:v>
      </x:c>
      <x:c r="E9" s="11" t="str">
        <x:v>多标签主题编码；每名学生在同一代码下最多计1次</x:v>
      </x:c>
      <x:c r="F9" s="11" t="str">
        <x:v>空白、无、不知道、偏题文本单列，不排除整份样本</x:v>
      </x:c>
      <x:c r="G9" s="11" t="str">
        <x:v>学生最需要和最喜欢什么内容</x:v>
      </x:c>
    </x:row>
    <x:row r="10">
      <x:c r="A10" s="18" t="str">
        <x:v>S_Q4_ACTIVITY_TEXT</x:v>
      </x:c>
      <x:c r="B10" s="11" t="str">
        <x:v>喜欢的心理健康教育活动</x:v>
      </x:c>
      <x:c r="C10" s="11" t="str">
        <x:v>开放题</x:v>
      </x:c>
      <x:c r="D10" s="11" t="str">
        <x:v>原始文本</x:v>
      </x:c>
      <x:c r="E10" s="11" t="str">
        <x:v>多标签活动形式编码；每名学生在同一代码下最多计1次</x:v>
      </x:c>
      <x:c r="F10" s="11" t="str">
        <x:v>非心理活动和含义不明文本单列</x:v>
      </x:c>
      <x:c r="G10" s="11" t="str">
        <x:v>什么样的活动形式最能提高参与度</x:v>
      </x:c>
    </x:row>
    <x:row r="11">
      <x:c r="A11" s="19" t="str">
        <x:v>S_Q5_EXPECT_TEXT</x:v>
      </x:c>
      <x:c r="B11" s="12" t="str">
        <x:v>对学校心理健康教育的期望</x:v>
      </x:c>
      <x:c r="C11" s="12" t="str">
        <x:v>开放题</x:v>
      </x:c>
      <x:c r="D11" s="12" t="str">
        <x:v>原始文本</x:v>
      </x:c>
      <x:c r="E11" s="12" t="str">
        <x:v>多标签需求编码；区分增加频率、互动、咨询、沟通、趣味性等</x:v>
      </x:c>
      <x:c r="F11" s="12" t="str">
        <x:v>空白、无、无关答案单列</x:v>
      </x:c>
      <x:c r="G11" s="12" t="str">
        <x:v>学校下一步最优先改进什么</x:v>
      </x:c>
    </x:row>
  </x:sheetData>
  <x:mergeCells>
    <x:mergeCell ref="A1:G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34" hidden="0" customWidth="1"/>
    <x:col min="3" max="3" width="18" hidden="0" customWidth="1"/>
    <x:col min="4" max="4" width="34" hidden="0" customWidth="1"/>
    <x:col min="5" max="5" width="44" hidden="0" customWidth="1"/>
    <x:col min="6" max="6" width="46" hidden="0" customWidth="1"/>
    <x:col min="7" max="7" width="40" hidden="0" customWidth="1"/>
  </x:cols>
  <x:sheetData>
    <x:row r="1" ht="28" customHeight="1">
      <x:c r="A1" s="5" t="str">
        <x:v>家长问卷量化变量编码说明</x:v>
      </x:c>
      <x:c r="B1" s="5"/>
      <x:c r="C1" s="5"/>
      <x:c r="D1" s="5"/>
      <x:c r="E1" s="5"/>
      <x:c r="F1" s="5"/>
      <x:c r="G1" s="5"/>
    </x:row>
    <x:row r="2" ht="30" customHeight="1">
      <x:c r="A2" s="16" t="str">
        <x:v>变量名</x:v>
      </x:c>
      <x:c r="B2" s="9" t="str">
        <x:v>原题/来源</x:v>
      </x:c>
      <x:c r="C2" s="9" t="str">
        <x:v>变量类型</x:v>
      </x:c>
      <x:c r="D2" s="9" t="str">
        <x:v>原始编码</x:v>
      </x:c>
      <x:c r="E2" s="9" t="str">
        <x:v>分析编码</x:v>
      </x:c>
      <x:c r="F2" s="9" t="str">
        <x:v>缺失与质量处理</x:v>
      </x:c>
      <x:c r="G2" s="9" t="str">
        <x:v>结论用途</x:v>
      </x:c>
    </x:row>
    <x:row r="3">
      <x:c r="A3" s="17" t="str">
        <x:v>PARENT_ID</x:v>
      </x:c>
      <x:c r="B3" s="10" t="str">
        <x:v>系统生成</x:v>
      </x:c>
      <x:c r="C3" s="10" t="str">
        <x:v>标识变量</x:v>
      </x:c>
      <x:c r="D3" s="10" t="str">
        <x:v>P001—P091</x:v>
      </x:c>
      <x:c r="E3" s="10" t="str">
        <x:v>仅用于追踪</x:v>
      </x:c>
      <x:c r="F3" s="10" t="str">
        <x:v>排除后保留原编号，不重新顺排</x:v>
      </x:c>
      <x:c r="G3" s="10" t="str">
        <x:v>质量控制</x:v>
      </x:c>
    </x:row>
    <x:row r="4">
      <x:c r="A4" s="18" t="str">
        <x:v>P_DURATION_SEC</x:v>
      </x:c>
      <x:c r="B4" s="11" t="str">
        <x:v>所用时间</x:v>
      </x:c>
      <x:c r="C4" s="11" t="str">
        <x:v>连续变量</x:v>
      </x:c>
      <x:c r="D4" s="11" t="str">
        <x:v>秒</x:v>
      </x:c>
      <x:c r="E4" s="11" t="str">
        <x:v>仅作为风险筛查辅助，不直接进入结论统计</x:v>
      </x:c>
      <x:c r="F4" s="11" t="str">
        <x:v>不得仅因用时短剔除</x:v>
      </x:c>
      <x:c r="G4" s="11" t="str">
        <x:v>质量控制</x:v>
      </x:c>
    </x:row>
    <x:row r="5">
      <x:c r="A5" s="18" t="str">
        <x:v>P_Q1_SCHOOL_UNDERSTAND</x:v>
      </x:c>
      <x:c r="B5" s="11" t="str">
        <x:v>对学校心理健康教育的了解程度</x:v>
      </x:c>
      <x:c r="C5" s="11" t="str">
        <x:v>5点有序变量</x:v>
      </x:c>
      <x:c r="D5" s="11" t="str">
        <x:v>1—5，高分=了解更多</x:v>
      </x:c>
      <x:c r="E5" s="11" t="str">
        <x:v>报告中位数、分布及≥4比例</x:v>
      </x:c>
      <x:c r="F5" s="11" t="str">
        <x:v>合法范围1—5</x:v>
      </x:c>
      <x:c r="G5" s="11" t="str">
        <x:v>家长是否真正看见学校的相关工作</x:v>
      </x:c>
    </x:row>
    <x:row r="6">
      <x:c r="A6" s="18" t="str">
        <x:v>P_Q2_SATISFY</x:v>
      </x:c>
      <x:c r="B6" s="11" t="str">
        <x:v>对学校心理健康教育的满意程度</x:v>
      </x:c>
      <x:c r="C6" s="11" t="str">
        <x:v>5点有序变量</x:v>
      </x:c>
      <x:c r="D6" s="11" t="str">
        <x:v>1—5，高分=更满意</x:v>
      </x:c>
      <x:c r="E6" s="11" t="str">
        <x:v>报告中位数、分布及≥4比例</x:v>
      </x:c>
      <x:c r="F6" s="11" t="str">
        <x:v>合法范围1—5</x:v>
      </x:c>
      <x:c r="G6" s="11" t="str">
        <x:v>家长对现有工作的总体认可度</x:v>
      </x:c>
    </x:row>
    <x:row r="7">
      <x:c r="A7" s="18" t="str">
        <x:v>P_Q3_PARTICIPATE_RAW</x:v>
      </x:c>
      <x:c r="B7" s="11" t="str">
        <x:v>参与学校心理健康教育活动的情况</x:v>
      </x:c>
      <x:c r="C7" s="11" t="str">
        <x:v>3级有序变量</x:v>
      </x:c>
      <x:c r="D7" s="11" t="str">
        <x:v>1=经常，2=偶尔，3=从未</x:v>
      </x:c>
      <x:c r="E7" s="11" t="str">
        <x:v>另生成P_Q3_INTENSITY：2=经常、1=偶尔、0=从未</x:v>
      </x:c>
      <x:c r="F7" s="11" t="str">
        <x:v>保留原始选项用于频数</x:v>
      </x:c>
      <x:c r="G7" s="11" t="str">
        <x:v>家长参与是否成为家校协同短板</x:v>
      </x:c>
    </x:row>
    <x:row r="8">
      <x:c r="A8" s="18" t="str">
        <x:v>P_Q3_INTENSITY</x:v>
      </x:c>
      <x:c r="B8" s="11" t="str">
        <x:v>由P_Q3_PARTICIPATE_RAW派生</x:v>
      </x:c>
      <x:c r="C8" s="11" t="str">
        <x:v>有序变量</x:v>
      </x:c>
      <x:c r="D8" s="11" t="str">
        <x:v>不适用</x:v>
      </x:c>
      <x:c r="E8" s="11" t="str">
        <x:v>经常=2、偶尔=1、从未=0</x:v>
      </x:c>
      <x:c r="F8" s="11" t="str">
        <x:v>仅由合法原始选项生成</x:v>
      </x:c>
      <x:c r="G8" s="11" t="str">
        <x:v>家长参与强度</x:v>
      </x:c>
    </x:row>
    <x:row r="9">
      <x:c r="A9" s="18" t="str">
        <x:v>P_Q4_ACTIVITY_FEEL_RAW</x:v>
      </x:c>
      <x:c r="B9" s="11" t="str">
        <x:v>参与活动的感受</x:v>
      </x:c>
      <x:c r="C9" s="11" t="str">
        <x:v>条件题</x:v>
      </x:c>
      <x:c r="D9" s="11" t="str">
        <x:v>1=特别好，2=比较好，3=一般，4=无意义，5=没参与过</x:v>
      </x:c>
      <x:c r="E9" s="11" t="str">
        <x:v>仅在P_Q3为1或2时评价；生成P_Q4_EVAL：4/3/2/1，高分=评价更好</x:v>
      </x:c>
      <x:c r="F9" s="11" t="str">
        <x:v>P_Q3=3时设结构性缺失；P002、P055因逻辑冲突设缺失</x:v>
      </x:c>
      <x:c r="G9" s="11" t="str">
        <x:v>参与过的家长对活动质量如何评价</x:v>
      </x:c>
    </x:row>
    <x:row r="10">
      <x:c r="A10" s="18" t="str">
        <x:v>P_Q4_EVAL</x:v>
      </x:c>
      <x:c r="B10" s="11" t="str">
        <x:v>由P_Q4_ACTIVITY_FEEL_RAW派生</x:v>
      </x:c>
      <x:c r="C10" s="11" t="str">
        <x:v>有序变量</x:v>
      </x:c>
      <x:c r="D10" s="11" t="str">
        <x:v>不适用</x:v>
      </x:c>
      <x:c r="E10" s="11" t="str">
        <x:v>特别好=4、比较好=3、一般=2、无意义=1</x:v>
      </x:c>
      <x:c r="F10" s="11" t="str">
        <x:v>P_Q3=从未时结构性缺失；P002、P055逻辑冲突缺失</x:v>
      </x:c>
      <x:c r="G10" s="11" t="str">
        <x:v>参与者的活动评价</x:v>
      </x:c>
    </x:row>
    <x:row r="11">
      <x:c r="A11" s="18" t="str">
        <x:v>P_Q5_MH_KNOWLEDGE</x:v>
      </x:c>
      <x:c r="B11" s="11" t="str">
        <x:v>家长对心理健康的了解程度</x:v>
      </x:c>
      <x:c r="C11" s="11" t="str">
        <x:v>5点有序变量</x:v>
      </x:c>
      <x:c r="D11" s="11" t="str">
        <x:v>1—5，高分=了解更多</x:v>
      </x:c>
      <x:c r="E11" s="11" t="str">
        <x:v>报告分布及与重视度、校外求助的关系</x:v>
      </x:c>
      <x:c r="F11" s="11" t="str">
        <x:v>合法范围1—5</x:v>
      </x:c>
      <x:c r="G11" s="11" t="str">
        <x:v>家长知识储备是否足以支持孩子</x:v>
      </x:c>
    </x:row>
    <x:row r="12">
      <x:c r="A12" s="18" t="str">
        <x:v>P_Q6_CHILD_IMPORTANCE</x:v>
      </x:c>
      <x:c r="B12" s="11" t="str">
        <x:v>对孩子心理健康的重视程度</x:v>
      </x:c>
      <x:c r="C12" s="11" t="str">
        <x:v>5点有序变量</x:v>
      </x:c>
      <x:c r="D12" s="11" t="str">
        <x:v>1—5，高分=更重视</x:v>
      </x:c>
      <x:c r="E12" s="11" t="str">
        <x:v>报告分布及与知识水平的关系</x:v>
      </x:c>
      <x:c r="F12" s="11" t="str">
        <x:v>合法范围1—5</x:v>
      </x:c>
      <x:c r="G12" s="11" t="str">
        <x:v>高重视是否伴随足够知识和行动</x:v>
      </x:c>
    </x:row>
    <x:row r="13">
      <x:c r="A13" s="18" t="str">
        <x:v>P_Q7_EXTERNAL_SUPPORT</x:v>
      </x:c>
      <x:c r="B13" s="11" t="str">
        <x:v>是否寻求校外促进方式</x:v>
      </x:c>
      <x:c r="C13" s="11" t="str">
        <x:v>二元变量</x:v>
      </x:c>
      <x:c r="D13" s="11" t="str">
        <x:v>1=是，2=否</x:v>
      </x:c>
      <x:c r="E13" s="11" t="str">
        <x:v>生成P_Q7_BIN：1=是，0=否</x:v>
      </x:c>
      <x:c r="F13" s="11" t="str">
        <x:v>填空中的具体方式另行文本整理</x:v>
      </x:c>
      <x:c r="G13" s="11" t="str">
        <x:v>家庭是否主动连接学校以外资源</x:v>
      </x:c>
    </x:row>
    <x:row r="14">
      <x:c r="A14" s="18" t="str">
        <x:v>P_Q7_BIN</x:v>
      </x:c>
      <x:c r="B14" s="11" t="str">
        <x:v>由P_Q7_EXTERNAL_SUPPORT派生</x:v>
      </x:c>
      <x:c r="C14" s="11" t="str">
        <x:v>二元变量</x:v>
      </x:c>
      <x:c r="D14" s="11" t="str">
        <x:v>不适用</x:v>
      </x:c>
      <x:c r="E14" s="11" t="str">
        <x:v>是=1、否=0</x:v>
      </x:c>
      <x:c r="F14" s="11" t="str">
        <x:v>仅由合法原始选项生成</x:v>
      </x:c>
      <x:c r="G14" s="11" t="str">
        <x:v>校外资源连接比例</x:v>
      </x:c>
    </x:row>
    <x:row r="15">
      <x:c r="A15" s="18" t="str">
        <x:v>P_Q7_EXTERNAL_SUPPORT_TEXT</x:v>
      </x:c>
      <x:c r="B15" s="11" t="str">
        <x:v>Q7具体方式填空</x:v>
      </x:c>
      <x:c r="C15" s="11" t="str">
        <x:v>文本变量</x:v>
      </x:c>
      <x:c r="D15" s="11" t="str">
        <x:v>原始文本</x:v>
      </x:c>
      <x:c r="E15" s="11" t="str">
        <x:v>本阶段仅提取和匿名化，不编码主题</x:v>
      </x:c>
      <x:c r="F15" s="11" t="str">
        <x:v>空填不解释为否；正式编码移至第三部分</x:v>
      </x:c>
      <x:c r="G15" s="11" t="str">
        <x:v>校外支持方式的质性说明</x:v>
      </x:c>
    </x:row>
    <x:row r="16">
      <x:c r="A16" s="19" t="str">
        <x:v>P_Q8_SUGGEST_TEXT</x:v>
      </x:c>
      <x:c r="B16" s="12" t="str">
        <x:v>对学校建设的建议</x:v>
      </x:c>
      <x:c r="C16" s="12" t="str">
        <x:v>开放题</x:v>
      </x:c>
      <x:c r="D16" s="12" t="str">
        <x:v>原始文本</x:v>
      </x:c>
      <x:c r="E16" s="12" t="str">
        <x:v>多标签主题编码，每名家长每代码最多计1次</x:v>
      </x:c>
      <x:c r="F16" s="12" t="str">
        <x:v>P052仅封闭题保留，开放题不进入主题频次；无/没有单列</x:v>
      </x:c>
      <x:c r="G16" s="12" t="str">
        <x:v>家长最希望学校补足哪些服务</x:v>
      </x:c>
    </x:row>
  </x:sheetData>
  <x:mergeCells>
    <x:mergeCell ref="A1:G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25" hidden="0" customWidth="1"/>
    <x:col min="3" max="3" width="56" hidden="0" customWidth="1"/>
    <x:col min="4" max="4" width="20" hidden="0" customWidth="1"/>
    <x:col min="5" max="5" width="56" hidden="0" customWidth="1"/>
    <x:col min="6" max="6" width="48" hidden="0" customWidth="1"/>
    <x:col min="7" max="7" width="42" hidden="0" customWidth="1"/>
    <x:col min="8" max="8" width="48" hidden="0" customWidth="1"/>
  </x:cols>
  <x:sheetData>
    <x:row r="1" ht="28" customHeight="1">
      <x:c r="A1" s="5" t="str">
        <x:v>教师问卷量化变量编码说明</x:v>
      </x:c>
      <x:c r="B1" s="5"/>
      <x:c r="C1" s="5"/>
      <x:c r="D1" s="5"/>
      <x:c r="E1" s="5"/>
      <x:c r="F1" s="5"/>
      <x:c r="G1" s="5"/>
      <x:c r="H1" s="5"/>
    </x:row>
    <x:row r="2" ht="30" customHeight="1">
      <x:c r="A2" s="16" t="str">
        <x:v>变量名</x:v>
      </x:c>
      <x:c r="B2" s="9" t="str">
        <x:v>分析模块</x:v>
      </x:c>
      <x:c r="C2" s="9" t="str">
        <x:v>原题</x:v>
      </x:c>
      <x:c r="D2" s="9" t="str">
        <x:v>变量类型</x:v>
      </x:c>
      <x:c r="E2" s="9" t="str">
        <x:v>编码规则</x:v>
      </x:c>
      <x:c r="F2" s="9" t="str">
        <x:v>缺失与质量处理</x:v>
      </x:c>
      <x:c r="G2" s="9" t="str">
        <x:v>结论用途</x:v>
      </x:c>
      <x:c r="H2" s="9" t="str">
        <x:v>拆分/派生字段</x:v>
      </x:c>
    </x:row>
    <x:row r="3">
      <x:c r="A3" s="17" t="str">
        <x:v>T_Q01</x:v>
      </x:c>
      <x:c r="B3" s="10" t="str">
        <x:v>教师基本情况</x:v>
      </x:c>
      <x:c r="C3" s="10" t="str">
        <x:v>您的性别:</x:v>
      </x:c>
      <x:c r="D3" s="10" t="str">
        <x:v>名义变量</x:v>
      </x:c>
      <x:c r="E3" s="10" t="str">
        <x:v>保留为分类变量，主要报告频数和百分比；不把名义类别强行当连续分数。</x:v>
      </x:c>
      <x:c r="F3" s="10" t="str">
        <x:v>跳题、填空和“不清楚”按规则处理；任何单题异常不自动排除整份问卷。</x:v>
      </x:c>
      <x:c r="G3" s="10" t="str">
        <x:v>样本构成与教师经验背景</x:v>
      </x:c>
      <x:c r="H3" s="10" t="str">
        <x:v>不拆分；保留原变量</x:v>
      </x:c>
    </x:row>
    <x:row r="4">
      <x:c r="A4" s="18" t="str">
        <x:v>T_Q02</x:v>
      </x:c>
      <x:c r="B4" s="11" t="str">
        <x:v>教师基本情况</x:v>
      </x:c>
      <x:c r="C4" s="11" t="str">
        <x:v>(1)您的年龄:___岁。【请填写“周岁”】</x:v>
      </x:c>
      <x:c r="D4" s="11" t="str">
        <x:v>连续变量</x:v>
      </x:c>
      <x:c r="E4" s="11" t="str">
        <x:v>保留原始数值；检查年龄、教龄及二者组合是否合理。</x:v>
      </x:c>
      <x:c r="F4" s="11" t="str">
        <x:v>跳题、填空和“不清楚”按规则处理；任何单题异常不自动排除整份问卷。</x:v>
      </x:c>
      <x:c r="G4" s="11" t="str">
        <x:v>样本构成与教师经验背景</x:v>
      </x:c>
      <x:c r="H4" s="11" t="str">
        <x:v>不拆分；保留原变量</x:v>
      </x:c>
    </x:row>
    <x:row r="5">
      <x:c r="A5" s="18" t="str">
        <x:v>T_Q03</x:v>
      </x:c>
      <x:c r="B5" s="11" t="str">
        <x:v>教师基本情况</x:v>
      </x:c>
      <x:c r="C5" s="11" t="str">
        <x:v>(1)到目前为止，您的教龄总共为___年。</x:v>
      </x:c>
      <x:c r="D5" s="11" t="str">
        <x:v>连续变量</x:v>
      </x:c>
      <x:c r="E5" s="11" t="str">
        <x:v>保留原始数值；检查年龄、教龄及二者组合是否合理。</x:v>
      </x:c>
      <x:c r="F5" s="11" t="str">
        <x:v>跳题、填空和“不清楚”按规则处理；任何单题异常不自动排除整份问卷。</x:v>
      </x:c>
      <x:c r="G5" s="11" t="str">
        <x:v>样本构成与教师经验背景</x:v>
      </x:c>
      <x:c r="H5" s="11" t="str">
        <x:v>不拆分；保留原变量</x:v>
      </x:c>
    </x:row>
    <x:row r="6">
      <x:c r="A6" s="18" t="str">
        <x:v>T_Q04</x:v>
      </x:c>
      <x:c r="B6" s="11" t="str">
        <x:v>教师基本情况</x:v>
      </x:c>
      <x:c r="C6" s="11" t="str">
        <x:v>您的职称:</x:v>
      </x:c>
      <x:c r="D6" s="11" t="str">
        <x:v>有序分类</x:v>
      </x:c>
      <x:c r="E6" s="11" t="str">
        <x:v>保留为分类变量，主要报告频数和百分比；不把名义类别强行当连续分数。</x:v>
      </x:c>
      <x:c r="F6" s="11" t="str">
        <x:v>跳题、填空和“不清楚”按规则处理；任何单题异常不自动排除整份问卷。</x:v>
      </x:c>
      <x:c r="G6" s="11" t="str">
        <x:v>样本构成与教师经验背景</x:v>
      </x:c>
      <x:c r="H6" s="11" t="str">
        <x:v>不拆分；保留原变量</x:v>
      </x:c>
    </x:row>
    <x:row r="7">
      <x:c r="A7" s="18" t="str">
        <x:v>T_Q05</x:v>
      </x:c>
      <x:c r="B7" s="11" t="str">
        <x:v>教师基本情况</x:v>
      </x:c>
      <x:c r="C7" s="11" t="str">
        <x:v>您的岗位性质:</x:v>
      </x:c>
      <x:c r="D7" s="11" t="str">
        <x:v>名义变量</x:v>
      </x:c>
      <x:c r="E7" s="11" t="str">
        <x:v>保留为分类变量，主要报告频数和百分比；不把名义类别强行当连续分数。</x:v>
      </x:c>
      <x:c r="F7" s="11" t="str">
        <x:v>跳题、填空和“不清楚”按规则处理；任何单题异常不自动排除整份问卷。</x:v>
      </x:c>
      <x:c r="G7" s="11" t="str">
        <x:v>样本构成与教师经验背景</x:v>
      </x:c>
      <x:c r="H7" s="11" t="str">
        <x:v>不拆分；保留原变量</x:v>
      </x:c>
    </x:row>
    <x:row r="8">
      <x:c r="A8" s="18" t="str">
        <x:v>T_Q06</x:v>
      </x:c>
      <x:c r="B8" s="11" t="str">
        <x:v>教师基本情况</x:v>
      </x:c>
      <x:c r="C8" s="11" t="str">
        <x:v>您刚开始当教师时的学历（即第一学历）是:</x:v>
      </x:c>
      <x:c r="D8" s="11" t="str">
        <x:v>有序分类</x:v>
      </x:c>
      <x:c r="E8" s="11" t="str">
        <x:v>保留为分类变量，主要报告频数和百分比；不把名义类别强行当连续分数。</x:v>
      </x:c>
      <x:c r="F8" s="11" t="str">
        <x:v>跳题、填空和“不清楚”按规则处理；任何单题异常不自动排除整份问卷。</x:v>
      </x:c>
      <x:c r="G8" s="11" t="str">
        <x:v>样本构成与教师经验背景</x:v>
      </x:c>
      <x:c r="H8" s="11" t="str">
        <x:v>不拆分；保留原变量</x:v>
      </x:c>
    </x:row>
    <x:row r="9">
      <x:c r="A9" s="18" t="str">
        <x:v>T_Q07</x:v>
      </x:c>
      <x:c r="B9" s="11" t="str">
        <x:v>教师基本情况</x:v>
      </x:c>
      <x:c r="C9" s="11" t="str">
        <x:v>您的第一学历所学专业是否为师范类专业?</x:v>
      </x:c>
      <x:c r="D9" s="11" t="str">
        <x:v>二元变量</x:v>
      </x:c>
      <x:c r="E9" s="11" t="str">
        <x:v>保留为分类变量，主要报告频数和百分比；不把名义类别强行当连续分数。</x:v>
      </x:c>
      <x:c r="F9" s="11" t="str">
        <x:v>跳题、填空和“不清楚”按规则处理；任何单题异常不自动排除整份问卷。</x:v>
      </x:c>
      <x:c r="G9" s="11" t="str">
        <x:v>样本构成与教师经验背景</x:v>
      </x:c>
      <x:c r="H9" s="11" t="str">
        <x:v>不拆分；保留原变量</x:v>
      </x:c>
    </x:row>
    <x:row r="10">
      <x:c r="A10" s="18" t="str">
        <x:v>T_Q08</x:v>
      </x:c>
      <x:c r="B10" s="11" t="str">
        <x:v>教师基本情况</x:v>
      </x:c>
      <x:c r="C10" s="11" t="str">
        <x:v>工作之后，您是否又获得了更高的学历?【正在攻读不属于“获得”】</x:v>
      </x:c>
      <x:c r="D10" s="11" t="str">
        <x:v>名义变量</x:v>
      </x:c>
      <x:c r="E10" s="11" t="str">
        <x:v>保留为分类变量，主要报告频数和百分比；不把名义类别强行当连续分数。</x:v>
      </x:c>
      <x:c r="F10" s="11" t="str">
        <x:v>跳题、填空和“不清楚”按规则处理；任何单题异常不自动排除整份问卷。</x:v>
      </x:c>
      <x:c r="G10" s="11" t="str">
        <x:v>样本构成与教师经验背景</x:v>
      </x:c>
      <x:c r="H10" s="11" t="str">
        <x:v>不拆分；保留原变量</x:v>
      </x:c>
    </x:row>
    <x:row r="11">
      <x:c r="A11" s="18" t="str">
        <x:v>T_Q09</x:v>
      </x:c>
      <x:c r="B11" s="11" t="str">
        <x:v>教师基本情况</x:v>
      </x:c>
      <x:c r="C11" s="11" t="str">
        <x:v>您任教的科目?</x:v>
      </x:c>
      <x:c r="D11" s="11" t="str">
        <x:v>多选题</x:v>
      </x:c>
      <x:c r="E11" s="11" t="str">
        <x:v>按选项拆分为0/1哑变量；若“不清楚”与实质选项同时出现，以实质选项为准并取消“不清楚”。</x:v>
      </x:c>
      <x:c r="F11" s="11" t="str">
        <x:v>跳题、填空和“不清楚”按规则处理；任何单题异常不自动排除整份问卷。</x:v>
      </x:c>
      <x:c r="G11" s="11" t="str">
        <x:v>样本构成与教师经验背景</x:v>
      </x:c>
      <x:c r="H11" s="11" t="str">
        <x:v>按原选项生成T_Q09_[选项代码]的0/1变量；“其他”文本另存</x:v>
      </x:c>
    </x:row>
    <x:row r="12">
      <x:c r="A12" s="18" t="str">
        <x:v>T_Q10</x:v>
      </x:c>
      <x:c r="B12" s="11" t="str">
        <x:v>制度、设施与领导支持</x:v>
      </x:c>
      <x:c r="C12" s="11" t="str">
        <x:v>贵校是否有心理咨询室或心理辅导室?</x:v>
      </x:c>
      <x:c r="D12" s="11" t="str">
        <x:v>是/否/不清楚</x:v>
      </x:c>
      <x:c r="E12" s="11" t="str">
        <x:v>原始编码：是=1、否=0、不清楚=9；“不清楚”作为重要结果单独报告，不直接当普通缺失。</x:v>
      </x:c>
      <x:c r="F12" s="11" t="str">
        <x:v>跳题、填空和“不清楚”按规则处理；任何单题异常不自动排除整份问卷。</x:v>
      </x:c>
      <x:c r="G12" s="11" t="str">
        <x:v>学校是否具备制度、场地、经费与领导支持基础</x:v>
      </x:c>
      <x:c r="H12" s="11" t="str">
        <x:v>不拆分；保留原变量</x:v>
      </x:c>
    </x:row>
    <x:row r="13">
      <x:c r="A13" s="18" t="str">
        <x:v>T_Q11</x:v>
      </x:c>
      <x:c r="B13" s="11" t="str">
        <x:v>制度、设施与领导支持</x:v>
      </x:c>
      <x:c r="C13" s="11" t="str">
        <x:v>贵校是否每年有心理健康教育专项经费?</x:v>
      </x:c>
      <x:c r="D13" s="11" t="str">
        <x:v>经费分类</x:v>
      </x:c>
      <x:c r="E13" s="11" t="str">
        <x:v>保留为分类变量，主要报告频数和百分比；不把名义类别强行当连续分数。</x:v>
      </x:c>
      <x:c r="F13" s="11" t="str">
        <x:v>跳题、填空和“不清楚”按规则处理；任何单题异常不自动排除整份问卷。</x:v>
      </x:c>
      <x:c r="G13" s="11" t="str">
        <x:v>学校是否具备制度、场地、经费与领导支持基础</x:v>
      </x:c>
      <x:c r="H13" s="11" t="str">
        <x:v>不拆分；保留原变量</x:v>
      </x:c>
    </x:row>
    <x:row r="14">
      <x:c r="A14" s="18" t="str">
        <x:v>T_Q12</x:v>
      </x:c>
      <x:c r="B14" s="11" t="str">
        <x:v>制度、设施与领导支持</x:v>
      </x:c>
      <x:c r="C14" s="11" t="str">
        <x:v>贵校在心理健康教育方面是否有相关管理规章制度?</x:v>
      </x:c>
      <x:c r="D14" s="11" t="str">
        <x:v>是/否/不清楚</x:v>
      </x:c>
      <x:c r="E14" s="11" t="str">
        <x:v>原始编码：是=1、否=0、不清楚=9；“不清楚”作为重要结果单独报告，不直接当普通缺失。</x:v>
      </x:c>
      <x:c r="F14" s="11" t="str">
        <x:v>跳题、填空和“不清楚”按规则处理；任何单题异常不自动排除整份问卷。</x:v>
      </x:c>
      <x:c r="G14" s="11" t="str">
        <x:v>学校是否具备制度、场地、经费与领导支持基础</x:v>
      </x:c>
      <x:c r="H14" s="11" t="str">
        <x:v>不拆分；保留原变量</x:v>
      </x:c>
    </x:row>
    <x:row r="15">
      <x:c r="A15" s="18" t="str">
        <x:v>T_Q13</x:v>
      </x:c>
      <x:c r="B15" s="11" t="str">
        <x:v>制度、设施与领导支持</x:v>
      </x:c>
      <x:c r="C15" s="11" t="str">
        <x:v>您认为学校领导非常重视心理健康教育工作吗?</x:v>
      </x:c>
      <x:c r="D15" s="11" t="str">
        <x:v>5点同意度</x:v>
      </x:c>
      <x:c r="E15" s="11" t="str">
        <x:v>统一重编码为1—5，高分表示更积极/更认同；报告中位数、分布，不构造总分。</x:v>
      </x:c>
      <x:c r="F15" s="11" t="str">
        <x:v>跳题、填空和“不清楚”按规则处理；任何单题异常不自动排除整份问卷。</x:v>
      </x:c>
      <x:c r="G15" s="11" t="str">
        <x:v>学校是否具备制度、场地、经费与领导支持基础</x:v>
      </x:c>
      <x:c r="H15" s="11" t="str">
        <x:v>保留原始值，同时生成统一方向的1—5分析变量</x:v>
      </x:c>
    </x:row>
    <x:row r="16">
      <x:c r="A16" s="18" t="str">
        <x:v>T_Q14</x:v>
      </x:c>
      <x:c r="B16" s="11" t="str">
        <x:v>心理教师配置与培训</x:v>
      </x:c>
      <x:c r="C16" s="11" t="str">
        <x:v>贵校心理健康教师的专兼职情况:</x:v>
      </x:c>
      <x:c r="D16" s="11" t="str">
        <x:v>配置分类+人数</x:v>
      </x:c>
      <x:c r="E16" s="11" t="str">
        <x:v>分别编码配置类型与人数；选择“学校没有心理健康教育教师”者，Q15—Q19设结构性缺失。人数因教师间报告差异大，仅作描述，不求学校唯一值。</x:v>
      </x:c>
      <x:c r="F16" s="11" t="str">
        <x:v>跳题、填空和“不清楚”按规则处理；任何单题异常不自动排除整份问卷。</x:v>
      </x:c>
      <x:c r="G16" s="11" t="str">
        <x:v>是否存在专业师资不足及培训支持缺口</x:v>
      </x:c>
      <x:c r="H16" s="11" t="str">
        <x:v>拆分配置类别、专职人数、兼职人数；无心理教师者触发Q15—Q19结构性缺失</x:v>
      </x:c>
    </x:row>
    <x:row r="17">
      <x:c r="A17" s="18" t="str">
        <x:v>T_Q15</x:v>
      </x:c>
      <x:c r="B17" s="11" t="str">
        <x:v>心理教师配置与培训</x:v>
      </x:c>
      <x:c r="C17" s="11" t="str">
        <x:v>贵校心理健康教师的专业背景:</x:v>
      </x:c>
      <x:c r="D17" s="11" t="str">
        <x:v>专业背景分类+人数</x:v>
      </x:c>
      <x:c r="E17" s="11" t="str">
        <x:v>分类选项与填空文本拆成两个变量；空填不等同于“否”。</x:v>
      </x:c>
      <x:c r="F17" s="11" t="str">
        <x:v>跳题、填空和“不清楚”按规则处理；任何单题异常不自动排除整份问卷。</x:v>
      </x:c>
      <x:c r="G17" s="11" t="str">
        <x:v>是否存在专业师资不足及培训支持缺口</x:v>
      </x:c>
      <x:c r="H17" s="11" t="str">
        <x:v>拆分类别字段与补充文本字段</x:v>
      </x:c>
    </x:row>
    <x:row r="18">
      <x:c r="A18" s="18" t="str">
        <x:v>T_Q16</x:v>
      </x:c>
      <x:c r="B18" s="11" t="str">
        <x:v>心理教师配置与培训</x:v>
      </x:c>
      <x:c r="C18" s="11" t="str">
        <x:v>贵校心理健康教师是否取得心理健康教育相关的专业证书?</x:v>
      </x:c>
      <x:c r="D18" s="11" t="str">
        <x:v>是/否/不清楚+文本</x:v>
      </x:c>
      <x:c r="E18" s="11" t="str">
        <x:v>原始编码：是=1、否=0、不清楚=9；“不清楚”作为重要结果单独报告，不直接当普通缺失。</x:v>
      </x:c>
      <x:c r="F18" s="11" t="str">
        <x:v>跳题、填空和“不清楚”按规则处理；任何单题异常不自动排除整份问卷。</x:v>
      </x:c>
      <x:c r="G18" s="11" t="str">
        <x:v>是否存在专业师资不足及培训支持缺口</x:v>
      </x:c>
      <x:c r="H18" s="11" t="str">
        <x:v>拆分是/否/不清楚字段与说明文本字段</x:v>
      </x:c>
    </x:row>
    <x:row r="19">
      <x:c r="A19" s="18" t="str">
        <x:v>T_Q17</x:v>
      </x:c>
      <x:c r="B19" s="11" t="str">
        <x:v>心理教师配置与培训</x:v>
      </x:c>
      <x:c r="C19" s="11" t="str">
        <x:v>贵校心理健康教师是否参与心理健康相关的教研活动?</x:v>
      </x:c>
      <x:c r="D19" s="11" t="str">
        <x:v>是/否/不清楚</x:v>
      </x:c>
      <x:c r="E19" s="11" t="str">
        <x:v>原始编码：是=1、否=0、不清楚=9；“不清楚”作为重要结果单独报告，不直接当普通缺失。</x:v>
      </x:c>
      <x:c r="F19" s="11" t="str">
        <x:v>跳题、填空和“不清楚”按规则处理；任何单题异常不自动排除整份问卷。</x:v>
      </x:c>
      <x:c r="G19" s="11" t="str">
        <x:v>是否存在专业师资不足及培训支持缺口</x:v>
      </x:c>
      <x:c r="H19" s="11" t="str">
        <x:v>不拆分；保留原变量</x:v>
      </x:c>
    </x:row>
    <x:row r="20">
      <x:c r="A20" s="18" t="str">
        <x:v>T_Q18</x:v>
      </x:c>
      <x:c r="B20" s="11" t="str">
        <x:v>心理教师配置与培训</x:v>
      </x:c>
      <x:c r="C20" s="11" t="str">
        <x:v>贵校心理健康教师在工作期间是否接受过心理健康教育相关的培训或工作坊?</x:v>
      </x:c>
      <x:c r="D20" s="11" t="str">
        <x:v>是/否/不清楚</x:v>
      </x:c>
      <x:c r="E20" s="11" t="str">
        <x:v>原始编码：是=1、否=0、不清楚=9；“不清楚”作为重要结果单独报告，不直接当普通缺失。</x:v>
      </x:c>
      <x:c r="F20" s="11" t="str">
        <x:v>跳题、填空和“不清楚”按规则处理；任何单题异常不自动排除整份问卷。</x:v>
      </x:c>
      <x:c r="G20" s="11" t="str">
        <x:v>是否存在专业师资不足及培训支持缺口</x:v>
      </x:c>
      <x:c r="H20" s="11" t="str">
        <x:v>不拆分；保留原变量</x:v>
      </x:c>
    </x:row>
    <x:row r="21">
      <x:c r="A21" s="18" t="str">
        <x:v>T_Q19</x:v>
      </x:c>
      <x:c r="B21" s="11" t="str">
        <x:v>心理教师配置与培训</x:v>
      </x:c>
      <x:c r="C21" s="11" t="str">
        <x:v>贵校心理健康教师在工作期间接受心理健康教育相关的培训或工作坊的频率如何?</x:v>
      </x:c>
      <x:c r="D21" s="11" t="str">
        <x:v>频率有序变量</x:v>
      </x:c>
      <x:c r="E21" s="11" t="str">
        <x:v>按原选项顺序编码；仅在顺序明确时作有序统计，否则报告各类别频数。</x:v>
      </x:c>
      <x:c r="F21" s="11" t="str">
        <x:v>跳题、填空和“不清楚”按规则处理；任何单题异常不自动排除整份问卷。</x:v>
      </x:c>
      <x:c r="G21" s="11" t="str">
        <x:v>是否存在专业师资不足及培训支持缺口</x:v>
      </x:c>
      <x:c r="H21" s="11" t="str">
        <x:v>不拆分；保留原变量</x:v>
      </x:c>
    </x:row>
    <x:row r="22">
      <x:c r="A22" s="18" t="str">
        <x:v>T_Q20</x:v>
      </x:c>
      <x:c r="B22" s="11" t="str">
        <x:v>心理教师配置与培训</x:v>
      </x:c>
      <x:c r="C22" s="11" t="str">
        <x:v>贵校其他科目的教师或班主任在工作期间是否接受过心理健康教育相关的培训?</x:v>
      </x:c>
      <x:c r="D22" s="11" t="str">
        <x:v>是/否/不清楚</x:v>
      </x:c>
      <x:c r="E22" s="11" t="str">
        <x:v>原始编码：是=1、否=0、不清楚=9；“不清楚”作为重要结果单独报告，不直接当普通缺失。</x:v>
      </x:c>
      <x:c r="F22" s="11" t="str">
        <x:v>跳题、填空和“不清楚”按规则处理；任何单题异常不自动排除整份问卷。</x:v>
      </x:c>
      <x:c r="G22" s="11" t="str">
        <x:v>是否存在专业师资不足及培训支持缺口</x:v>
      </x:c>
      <x:c r="H22" s="11" t="str">
        <x:v>不拆分；保留原变量</x:v>
      </x:c>
    </x:row>
    <x:row r="23">
      <x:c r="A23" s="18" t="str">
        <x:v>T_Q21</x:v>
      </x:c>
      <x:c r="B23" s="11" t="str">
        <x:v>教师能力与上级支持</x:v>
      </x:c>
      <x:c r="C23" s="11" t="str">
        <x:v>您认为自己对开展心理健康教育工作的胜任力很强?</x:v>
      </x:c>
      <x:c r="D23" s="11" t="str">
        <x:v>5点同意度</x:v>
      </x:c>
      <x:c r="E23" s="11" t="str">
        <x:v>统一重编码为1—5，高分表示更积极/更认同；报告中位数、分布，不构造总分。</x:v>
      </x:c>
      <x:c r="F23" s="11" t="str">
        <x:v>跳题、填空和“不清楚”按规则处理；任何单题异常不自动排除整份问卷。</x:v>
      </x:c>
      <x:c r="G23" s="11" t="str">
        <x:v>教师主观胜任力、培训需求及上级支持是否匹配</x:v>
      </x:c>
      <x:c r="H23" s="11" t="str">
        <x:v>保留原始值，同时生成统一方向的1—5分析变量</x:v>
      </x:c>
    </x:row>
    <x:row r="24">
      <x:c r="A24" s="18" t="str">
        <x:v>T_Q22</x:v>
      </x:c>
      <x:c r="B24" s="11" t="str">
        <x:v>教师能力与上级支持</x:v>
      </x:c>
      <x:c r="C24" s="11" t="str">
        <x:v>您愿意接受心理健康教育方面的培训?</x:v>
      </x:c>
      <x:c r="D24" s="11" t="str">
        <x:v>5点同意度</x:v>
      </x:c>
      <x:c r="E24" s="11" t="str">
        <x:v>统一重编码为1—5，高分表示更积极/更认同；报告中位数、分布，不构造总分。</x:v>
      </x:c>
      <x:c r="F24" s="11" t="str">
        <x:v>跳题、填空和“不清楚”按规则处理；任何单题异常不自动排除整份问卷。</x:v>
      </x:c>
      <x:c r="G24" s="11" t="str">
        <x:v>教师主观胜任力、培训需求及上级支持是否匹配</x:v>
      </x:c>
      <x:c r="H24" s="11" t="str">
        <x:v>保留原始值，同时生成统一方向的1—5分析变量</x:v>
      </x:c>
    </x:row>
    <x:row r="25">
      <x:c r="A25" s="18" t="str">
        <x:v>T_Q23</x:v>
      </x:c>
      <x:c r="B25" s="11" t="str">
        <x:v>教师能力与上级支持</x:v>
      </x:c>
      <x:c r="C25" s="11" t="str">
        <x:v>贵校在开展心理健康教育工作的过程中，是否有得到来自市（区/县）里的支持?</x:v>
      </x:c>
      <x:c r="D25" s="11" t="str">
        <x:v>是/否/不清楚</x:v>
      </x:c>
      <x:c r="E25" s="11" t="str">
        <x:v>原始编码：是=1、否=0、不清楚=9；“不清楚”作为重要结果单独报告，不直接当普通缺失。</x:v>
      </x:c>
      <x:c r="F25" s="11" t="str">
        <x:v>跳题、填空和“不清楚”按规则处理；任何单题异常不自动排除整份问卷。</x:v>
      </x:c>
      <x:c r="G25" s="11" t="str">
        <x:v>教师主观胜任力、培训需求及上级支持是否匹配</x:v>
      </x:c>
      <x:c r="H25" s="11" t="str">
        <x:v>不拆分；保留原变量</x:v>
      </x:c>
    </x:row>
    <x:row r="26">
      <x:c r="A26" s="18" t="str">
        <x:v>T_Q24</x:v>
      </x:c>
      <x:c r="B26" s="11" t="str">
        <x:v>教师能力与上级支持</x:v>
      </x:c>
      <x:c r="C26" s="11" t="str">
        <x:v>贵校专职心理健康教育教师是否同等享受班主任工作年限待遇?</x:v>
      </x:c>
      <x:c r="D26" s="11" t="str">
        <x:v>是/否/不清楚</x:v>
      </x:c>
      <x:c r="E26" s="11" t="str">
        <x:v>原始编码：是=1、否=0、不清楚=9；“不清楚”作为重要结果单独报告，不直接当普通缺失。</x:v>
      </x:c>
      <x:c r="F26" s="11" t="str">
        <x:v>跳题、填空和“不清楚”按规则处理；任何单题异常不自动排除整份问卷。</x:v>
      </x:c>
      <x:c r="G26" s="11" t="str">
        <x:v>教师主观胜任力、培训需求及上级支持是否匹配</x:v>
      </x:c>
      <x:c r="H26" s="11" t="str">
        <x:v>不拆分；保留原变量</x:v>
      </x:c>
    </x:row>
    <x:row r="27">
      <x:c r="A27" s="18" t="str">
        <x:v>T_Q25</x:v>
      </x:c>
      <x:c r="B27" s="11" t="str">
        <x:v>心理健康课程建设</x:v>
      </x:c>
      <x:c r="C27" s="11" t="str">
        <x:v>贵校目前是否开设了心理健康教育课程?</x:v>
      </x:c>
      <x:c r="D27" s="11" t="str">
        <x:v>课程开设分类</x:v>
      </x:c>
      <x:c r="E27" s="11" t="str">
        <x:v>保留为分类变量，主要报告频数和百分比；不把名义类别强行当连续分数。</x:v>
      </x:c>
      <x:c r="F27" s="11" t="str">
        <x:v>跳题、填空和“不清楚”按规则处理；任何单题异常不自动排除整份问卷。</x:v>
      </x:c>
      <x:c r="G27" s="11" t="str">
        <x:v>课程是否稳定、系统、受重视且具有参与性</x:v>
      </x:c>
      <x:c r="H27" s="11" t="str">
        <x:v>不拆分；保留原变量</x:v>
      </x:c>
    </x:row>
    <x:row r="28">
      <x:c r="A28" s="18" t="str">
        <x:v>T_Q26</x:v>
      </x:c>
      <x:c r="B28" s="11" t="str">
        <x:v>心理健康课程建设</x:v>
      </x:c>
      <x:c r="C28" s="11" t="str">
        <x:v>相比学科课程，贵校心理健康教育课程的受重视程度为?</x:v>
      </x:c>
      <x:c r="D28" s="11" t="str">
        <x:v>重视程度分类</x:v>
      </x:c>
      <x:c r="E28" s="11" t="str">
        <x:v>保留为分类变量，主要报告频数和百分比；不把名义类别强行当连续分数。</x:v>
      </x:c>
      <x:c r="F28" s="11" t="str">
        <x:v>跳题、填空和“不清楚”按规则处理；任何单题异常不自动排除整份问卷。</x:v>
      </x:c>
      <x:c r="G28" s="11" t="str">
        <x:v>课程是否稳定、系统、受重视且具有参与性</x:v>
      </x:c>
      <x:c r="H28" s="11" t="str">
        <x:v>不拆分；保留原变量</x:v>
      </x:c>
    </x:row>
    <x:row r="29">
      <x:c r="A29" s="18" t="str">
        <x:v>T_Q27</x:v>
      </x:c>
      <x:c r="B29" s="11" t="str">
        <x:v>心理健康课程建设</x:v>
      </x:c>
      <x:c r="C29" s="11" t="str">
        <x:v>贵校开展心理健康教育课程的频率如何（以班级为单位，如无合适选项，请选择“其他”并将实际情况填写至横线处）?</x:v>
      </x:c>
      <x:c r="D29" s="11" t="str">
        <x:v>频率有序变量</x:v>
      </x:c>
      <x:c r="E29" s="11" t="str">
        <x:v>按原选项顺序编码；仅在顺序明确时作有序统计，否则报告各类别频数。</x:v>
      </x:c>
      <x:c r="F29" s="11" t="str">
        <x:v>跳题、填空和“不清楚”按规则处理；任何单题异常不自动排除整份问卷。</x:v>
      </x:c>
      <x:c r="G29" s="11" t="str">
        <x:v>课程是否稳定、系统、受重视且具有参与性</x:v>
      </x:c>
      <x:c r="H29" s="11" t="str">
        <x:v>不拆分；保留原变量</x:v>
      </x:c>
    </x:row>
    <x:row r="30">
      <x:c r="A30" s="18" t="str">
        <x:v>T_Q28</x:v>
      </x:c>
      <x:c r="B30" s="11" t="str">
        <x:v>心理健康课程建设</x:v>
      </x:c>
      <x:c r="C30" s="11" t="str">
        <x:v>贵校心理健康教育课程的被挤占情况为?</x:v>
      </x:c>
      <x:c r="D30" s="11" t="str">
        <x:v>挤占频率有序变量</x:v>
      </x:c>
      <x:c r="E30" s="11" t="str">
        <x:v>按原选项顺序编码；仅在顺序明确时作有序统计，否则报告各类别频数。</x:v>
      </x:c>
      <x:c r="F30" s="11" t="str">
        <x:v>跳题、填空和“不清楚”按规则处理；任何单题异常不自动排除整份问卷。</x:v>
      </x:c>
      <x:c r="G30" s="11" t="str">
        <x:v>课程是否稳定、系统、受重视且具有参与性</x:v>
      </x:c>
      <x:c r="H30" s="11" t="str">
        <x:v>不拆分；保留原变量</x:v>
      </x:c>
    </x:row>
    <x:row r="31">
      <x:c r="A31" s="18" t="str">
        <x:v>T_Q29</x:v>
      </x:c>
      <x:c r="B31" s="11" t="str">
        <x:v>心理健康课程建设</x:v>
      </x:c>
      <x:c r="C31" s="11" t="str">
        <x:v>贵校开设的心理健康教育课程主题有哪些?</x:v>
      </x:c>
      <x:c r="D31" s="11" t="str">
        <x:v>多选题</x:v>
      </x:c>
      <x:c r="E31" s="11" t="str">
        <x:v>按选项拆分为0/1哑变量；若“不清楚”与实质选项同时出现，以实质选项为准并取消“不清楚”。</x:v>
      </x:c>
      <x:c r="F31" s="11" t="str">
        <x:v>跳题、填空和“不清楚”按规则处理；任何单题异常不自动排除整份问卷。</x:v>
      </x:c>
      <x:c r="G31" s="11" t="str">
        <x:v>课程是否稳定、系统、受重视且具有参与性</x:v>
      </x:c>
      <x:c r="H31" s="11" t="str">
        <x:v>按原选项生成T_Q29_[选项代码]的0/1变量；“其他”文本另存</x:v>
      </x:c>
    </x:row>
    <x:row r="32">
      <x:c r="A32" s="18" t="str">
        <x:v>T_Q30</x:v>
      </x:c>
      <x:c r="B32" s="11" t="str">
        <x:v>心理健康课程建设</x:v>
      </x:c>
      <x:c r="C32" s="11" t="str">
        <x:v>贵校是否进行心理健康教育的课程体系建设?</x:v>
      </x:c>
      <x:c r="D32" s="11" t="str">
        <x:v>是/否/不清楚</x:v>
      </x:c>
      <x:c r="E32" s="11" t="str">
        <x:v>原始编码：是=1、否=0、不清楚=9；“不清楚”作为重要结果单独报告，不直接当普通缺失。</x:v>
      </x:c>
      <x:c r="F32" s="11" t="str">
        <x:v>跳题、填空和“不清楚”按规则处理；任何单题异常不自动排除整份问卷。</x:v>
      </x:c>
      <x:c r="G32" s="11" t="str">
        <x:v>课程是否稳定、系统、受重视且具有参与性</x:v>
      </x:c>
      <x:c r="H32" s="11" t="str">
        <x:v>不拆分；保留原变量</x:v>
      </x:c>
    </x:row>
    <x:row r="33">
      <x:c r="A33" s="18" t="str">
        <x:v>T_Q31</x:v>
      </x:c>
      <x:c r="B33" s="11" t="str">
        <x:v>心理健康课程建设</x:v>
      </x:c>
      <x:c r="C33" s="11" t="str">
        <x:v>贵校心理健康教育课程内容的研发形式为?</x:v>
      </x:c>
      <x:c r="D33" s="11" t="str">
        <x:v>研发形式分类</x:v>
      </x:c>
      <x:c r="E33" s="11" t="str">
        <x:v>保留为分类变量，主要报告频数和百分比；不把名义类别强行当连续分数。</x:v>
      </x:c>
      <x:c r="F33" s="11" t="str">
        <x:v>跳题、填空和“不清楚”按规则处理；任何单题异常不自动排除整份问卷。</x:v>
      </x:c>
      <x:c r="G33" s="11" t="str">
        <x:v>课程是否稳定、系统、受重视且具有参与性</x:v>
      </x:c>
      <x:c r="H33" s="11" t="str">
        <x:v>不拆分；保留原变量</x:v>
      </x:c>
    </x:row>
    <x:row r="34">
      <x:c r="A34" s="18" t="str">
        <x:v>T_Q32</x:v>
      </x:c>
      <x:c r="B34" s="11" t="str">
        <x:v>心理健康课程建设</x:v>
      </x:c>
      <x:c r="C34" s="11" t="str">
        <x:v>贵校开设的心理健康教育课程包括哪些形式?</x:v>
      </x:c>
      <x:c r="D34" s="11" t="str">
        <x:v>多选题</x:v>
      </x:c>
      <x:c r="E34" s="11" t="str">
        <x:v>按选项拆分为0/1哑变量；若“不清楚”与实质选项同时出现，以实质选项为准并取消“不清楚”。</x:v>
      </x:c>
      <x:c r="F34" s="11" t="str">
        <x:v>跳题、填空和“不清楚”按规则处理；任何单题异常不自动排除整份问卷。</x:v>
      </x:c>
      <x:c r="G34" s="11" t="str">
        <x:v>课程是否稳定、系统、受重视且具有参与性</x:v>
      </x:c>
      <x:c r="H34" s="11" t="str">
        <x:v>按原选项生成T_Q32_[选项代码]的0/1变量；“其他”文本另存</x:v>
      </x:c>
    </x:row>
    <x:row r="35">
      <x:c r="A35" s="18" t="str">
        <x:v>T_Q33</x:v>
      </x:c>
      <x:c r="B35" s="11" t="str">
        <x:v>心理健康课程建设</x:v>
      </x:c>
      <x:c r="C35" s="11" t="str">
        <x:v>贵校开设心理健康教育课程的目的是?</x:v>
      </x:c>
      <x:c r="D35" s="11" t="str">
        <x:v>多选题</x:v>
      </x:c>
      <x:c r="E35" s="11" t="str">
        <x:v>按选项拆分为0/1哑变量；若“不清楚”与实质选项同时出现，以实质选项为准并取消“不清楚”。</x:v>
      </x:c>
      <x:c r="F35" s="11" t="str">
        <x:v>跳题、填空和“不清楚”按规则处理；任何单题异常不自动排除整份问卷。</x:v>
      </x:c>
      <x:c r="G35" s="11" t="str">
        <x:v>课程是否稳定、系统、受重视且具有参与性</x:v>
      </x:c>
      <x:c r="H35" s="11" t="str">
        <x:v>按原选项生成T_Q33_[选项代码]的0/1变量；“其他”文本另存</x:v>
      </x:c>
    </x:row>
    <x:row r="36">
      <x:c r="A36" s="18" t="str">
        <x:v>T_Q34</x:v>
      </x:c>
      <x:c r="B36" s="11" t="str">
        <x:v>心理健康课程建设</x:v>
      </x:c>
      <x:c r="C36" s="11" t="str">
        <x:v>贵校心理健康教育课程中学生的参与程度为?</x:v>
      </x:c>
      <x:c r="D36" s="11" t="str">
        <x:v>参与程度有序变量</x:v>
      </x:c>
      <x:c r="E36" s="11" t="str">
        <x:v>按原选项顺序编码；仅在顺序明确时作有序统计，否则报告各类别频数。</x:v>
      </x:c>
      <x:c r="F36" s="11" t="str">
        <x:v>跳题、填空和“不清楚”按规则处理；任何单题异常不自动排除整份问卷。</x:v>
      </x:c>
      <x:c r="G36" s="11" t="str">
        <x:v>课程是否稳定、系统、受重视且具有参与性</x:v>
      </x:c>
      <x:c r="H36" s="11" t="str">
        <x:v>不拆分；保留原变量</x:v>
      </x:c>
    </x:row>
    <x:row r="37">
      <x:c r="A37" s="18" t="str">
        <x:v>T_Q35</x:v>
      </x:c>
      <x:c r="B37" s="11" t="str">
        <x:v>心理健康课程建设</x:v>
      </x:c>
      <x:c r="C37" s="11" t="str">
        <x:v>贵校心理健康教育课程有无校本教材?如果没有，请填写采用的教材版本。</x:v>
      </x:c>
      <x:c r="D37" s="11" t="str">
        <x:v>教材分类+文本</x:v>
      </x:c>
      <x:c r="E37" s="11" t="str">
        <x:v>分类选项与填空文本拆成两个变量；空填不等同于“否”。</x:v>
      </x:c>
      <x:c r="F37" s="11" t="str">
        <x:v>跳题、填空和“不清楚”按规则处理；任何单题异常不自动排除整份问卷。</x:v>
      </x:c>
      <x:c r="G37" s="11" t="str">
        <x:v>课程是否稳定、系统、受重视且具有参与性</x:v>
      </x:c>
      <x:c r="H37" s="11" t="str">
        <x:v>拆分类别字段与补充文本字段</x:v>
      </x:c>
    </x:row>
    <x:row r="38">
      <x:c r="A38" s="18" t="str">
        <x:v>T_Q36</x:v>
      </x:c>
      <x:c r="B38" s="11" t="str">
        <x:v>心理健康课程建设</x:v>
      </x:c>
      <x:c r="C38" s="11" t="str">
        <x:v>您认为有必要在其他课程的课堂中渗透心理健康教育知识吗?</x:v>
      </x:c>
      <x:c r="D38" s="11" t="str">
        <x:v>5点同意度</x:v>
      </x:c>
      <x:c r="E38" s="11" t="str">
        <x:v>原题1=非常同意至5=非常不同意；反向重编码为1—5，高分表示越赞同课程渗透。</x:v>
      </x:c>
      <x:c r="F38" s="11" t="str">
        <x:v>跳题、填空和“不清楚”按规则处理；任何单题异常不自动排除整份问卷。</x:v>
      </x:c>
      <x:c r="G38" s="11" t="str">
        <x:v>课程是否稳定、系统、受重视且具有参与性</x:v>
      </x:c>
      <x:c r="H38" s="11" t="str">
        <x:v>保留原始值，同时生成统一方向的1—5分析变量</x:v>
      </x:c>
    </x:row>
    <x:row r="39">
      <x:c r="A39" s="18" t="str">
        <x:v>T_Q37</x:v>
      </x:c>
      <x:c r="B39" s="11" t="str">
        <x:v>辅导、筛查、档案与认可</x:v>
      </x:c>
      <x:c r="C39" s="11" t="str">
        <x:v>贵校是否开展了心理辅导相关活动?</x:v>
      </x:c>
      <x:c r="D39" s="11" t="str">
        <x:v>是/否/不清楚</x:v>
      </x:c>
      <x:c r="E39" s="11" t="str">
        <x:v>原始编码：是=1、否=0、不清楚=9；“不清楚”作为重要结果单独报告，不直接当普通缺失。</x:v>
      </x:c>
      <x:c r="F39" s="11" t="str">
        <x:v>跳题、填空和“不清楚”按规则处理；任何单题异常不自动排除整份问卷。</x:v>
      </x:c>
      <x:c r="G39" s="11" t="str">
        <x:v>筛查、档案、转介和辅导是否形成连续工作链</x:v>
      </x:c>
      <x:c r="H39" s="11" t="str">
        <x:v>不拆分；保留原变量</x:v>
      </x:c>
    </x:row>
    <x:row r="40">
      <x:c r="A40" s="18" t="str">
        <x:v>T_Q38</x:v>
      </x:c>
      <x:c r="B40" s="11" t="str">
        <x:v>辅导、筛查、档案与认可</x:v>
      </x:c>
      <x:c r="C40" s="11" t="str">
        <x:v>贵校是否会进行学生心理健康筛查?</x:v>
      </x:c>
      <x:c r="D40" s="11" t="str">
        <x:v>是/否/不清楚</x:v>
      </x:c>
      <x:c r="E40" s="11" t="str">
        <x:v>原始编码：是=1、否=0、不清楚=9；“不清楚”作为重要结果单独报告，不直接当普通缺失。</x:v>
      </x:c>
      <x:c r="F40" s="11" t="str">
        <x:v>跳题、填空和“不清楚”按规则处理；任何单题异常不自动排除整份问卷。</x:v>
      </x:c>
      <x:c r="G40" s="11" t="str">
        <x:v>筛查、档案、转介和辅导是否形成连续工作链</x:v>
      </x:c>
      <x:c r="H40" s="11" t="str">
        <x:v>不拆分；保留原变量</x:v>
      </x:c>
    </x:row>
    <x:row r="41">
      <x:c r="A41" s="18" t="str">
        <x:v>T_Q39</x:v>
      </x:c>
      <x:c r="B41" s="11" t="str">
        <x:v>辅导、筛查、档案与认可</x:v>
      </x:c>
      <x:c r="C41" s="11" t="str">
        <x:v>针对重点关注学生，贵校是否有转介渠道?</x:v>
      </x:c>
      <x:c r="D41" s="11" t="str">
        <x:v>是/否/不清楚</x:v>
      </x:c>
      <x:c r="E41" s="11" t="str">
        <x:v>原始编码：是=1、否=0、不清楚=9；“不清楚”作为重要结果单独报告，不直接当普通缺失。</x:v>
      </x:c>
      <x:c r="F41" s="11" t="str">
        <x:v>跳题、填空和“不清楚”按规则处理；任何单题异常不自动排除整份问卷。</x:v>
      </x:c>
      <x:c r="G41" s="11" t="str">
        <x:v>筛查、档案、转介和辅导是否形成连续工作链</x:v>
      </x:c>
      <x:c r="H41" s="11" t="str">
        <x:v>不拆分；保留原变量</x:v>
      </x:c>
    </x:row>
    <x:row r="42">
      <x:c r="A42" s="18" t="str">
        <x:v>T_Q40</x:v>
      </x:c>
      <x:c r="B42" s="11" t="str">
        <x:v>辅导、筛查、档案与认可</x:v>
      </x:c>
      <x:c r="C42" s="11" t="str">
        <x:v>贵校是否建立了心理健康学生档案?</x:v>
      </x:c>
      <x:c r="D42" s="11" t="str">
        <x:v>是/否/不清楚</x:v>
      </x:c>
      <x:c r="E42" s="11" t="str">
        <x:v>原始编码：是=1、否=0、不清楚=9；“不清楚”作为重要结果单独报告，不直接当普通缺失。</x:v>
      </x:c>
      <x:c r="F42" s="11" t="str">
        <x:v>跳题、填空和“不清楚”按规则处理；任何单题异常不自动排除整份问卷。</x:v>
      </x:c>
      <x:c r="G42" s="11" t="str">
        <x:v>筛查、档案、转介和辅导是否形成连续工作链</x:v>
      </x:c>
      <x:c r="H42" s="11" t="str">
        <x:v>不拆分；保留原变量</x:v>
      </x:c>
    </x:row>
    <x:row r="43">
      <x:c r="A43" s="18" t="str">
        <x:v>T_Q41</x:v>
      </x:c>
      <x:c r="B43" s="11" t="str">
        <x:v>辅导、筛查、档案与认可</x:v>
      </x:c>
      <x:c r="C43" s="11" t="str">
        <x:v>请问贵校心理健康教师进行心理辅导的周辅导量是?（按小时计）</x:v>
      </x:c>
      <x:c r="D43" s="11" t="str">
        <x:v>辅导时长有序变量</x:v>
      </x:c>
      <x:c r="E43" s="11" t="str">
        <x:v>按原选项顺序编码；仅在顺序明确时作有序统计，否则报告各类别频数。</x:v>
      </x:c>
      <x:c r="F43" s="11" t="str">
        <x:v>跳题、填空和“不清楚”按规则处理；任何单题异常不自动排除整份问卷。</x:v>
      </x:c>
      <x:c r="G43" s="11" t="str">
        <x:v>筛查、档案、转介和辅导是否形成连续工作链</x:v>
      </x:c>
      <x:c r="H43" s="11" t="str">
        <x:v>不拆分；保留原变量</x:v>
      </x:c>
    </x:row>
    <x:row r="44">
      <x:c r="A44" s="18" t="str">
        <x:v>T_Q42</x:v>
      </x:c>
      <x:c r="B44" s="11" t="str">
        <x:v>辅导、筛查、档案与认可</x:v>
      </x:c>
      <x:c r="C44" s="11" t="str">
        <x:v>贵校心理健康教师在什么时间开展心理辅导工作?</x:v>
      </x:c>
      <x:c r="D44" s="11" t="str">
        <x:v>多选题</x:v>
      </x:c>
      <x:c r="E44" s="11" t="str">
        <x:v>按选项拆分为0/1哑变量；若“不清楚”与实质选项同时出现，以实质选项为准并取消“不清楚”。</x:v>
      </x:c>
      <x:c r="F44" s="11" t="str">
        <x:v>跳题、填空和“不清楚”按规则处理；任何单题异常不自动排除整份问卷。</x:v>
      </x:c>
      <x:c r="G44" s="11" t="str">
        <x:v>筛查、档案、转介和辅导是否形成连续工作链</x:v>
      </x:c>
      <x:c r="H44" s="11" t="str">
        <x:v>按原选项生成T_Q42_[选项代码]的0/1变量；“其他”文本另存</x:v>
      </x:c>
    </x:row>
    <x:row r="45">
      <x:c r="A45" s="18" t="str">
        <x:v>T_Q43</x:v>
      </x:c>
      <x:c r="B45" s="11" t="str">
        <x:v>辅导、筛查、档案与认可</x:v>
      </x:c>
      <x:c r="C45" s="11" t="str">
        <x:v>请问心理辅导工作是否计算入课时?（如果选择是，请填写计算标准）</x:v>
      </x:c>
      <x:c r="D45" s="11" t="str">
        <x:v>是/否/不清楚+文本</x:v>
      </x:c>
      <x:c r="E45" s="11" t="str">
        <x:v>原始编码：是=1、否=0、不清楚=9；“不清楚”作为重要结果单独报告，不直接当普通缺失。</x:v>
      </x:c>
      <x:c r="F45" s="11" t="str">
        <x:v>跳题、填空和“不清楚”按规则处理；任何单题异常不自动排除整份问卷。</x:v>
      </x:c>
      <x:c r="G45" s="11" t="str">
        <x:v>筛查、档案、转介和辅导是否形成连续工作链</x:v>
      </x:c>
      <x:c r="H45" s="11" t="str">
        <x:v>拆分是/否/不清楚字段与说明文本字段</x:v>
      </x:c>
    </x:row>
    <x:row r="46">
      <x:c r="A46" s="18" t="str">
        <x:v>T_Q44</x:v>
      </x:c>
      <x:c r="B46" s="11" t="str">
        <x:v>辅导、筛查、档案与认可</x:v>
      </x:c>
      <x:c r="C46" s="11" t="str">
        <x:v>您认为心理辅导工作被认可</x:v>
      </x:c>
      <x:c r="D46" s="11" t="str">
        <x:v>5点同意度</x:v>
      </x:c>
      <x:c r="E46" s="11" t="str">
        <x:v>统一重编码为1—5，高分表示更积极/更认同；报告中位数、分布，不构造总分。</x:v>
      </x:c>
      <x:c r="F46" s="11" t="str">
        <x:v>跳题、填空和“不清楚”按规则处理；任何单题异常不自动排除整份问卷。</x:v>
      </x:c>
      <x:c r="G46" s="11" t="str">
        <x:v>筛查、档案、转介和辅导是否形成连续工作链</x:v>
      </x:c>
      <x:c r="H46" s="11" t="str">
        <x:v>保留原始值，同时生成统一方向的1—5分析变量</x:v>
      </x:c>
    </x:row>
    <x:row r="47">
      <x:c r="A47" s="18" t="str">
        <x:v>T_Q45</x:v>
      </x:c>
      <x:c r="B47" s="11" t="str">
        <x:v>活动与危机干预</x:v>
      </x:c>
      <x:c r="C47" s="11" t="str">
        <x:v>贵校开展了以下哪些主题的心理健康教育活动?</x:v>
      </x:c>
      <x:c r="D47" s="11" t="str">
        <x:v>多选题</x:v>
      </x:c>
      <x:c r="E47" s="11" t="str">
        <x:v>按选项拆分为0/1哑变量；若“不清楚”与实质选项同时出现，以实质选项为准并取消“不清楚”。</x:v>
      </x:c>
      <x:c r="F47" s="11" t="str">
        <x:v>跳题、填空和“不清楚”按规则处理；任何单题异常不自动排除整份问卷。</x:v>
      </x:c>
      <x:c r="G47" s="11" t="str">
        <x:v>活动与危机干预是否常态化、制度化</x:v>
      </x:c>
      <x:c r="H47" s="11" t="str">
        <x:v>按原选项生成T_Q45_[选项代码]的0/1变量；“其他”文本另存</x:v>
      </x:c>
    </x:row>
    <x:row r="48">
      <x:c r="A48" s="18" t="str">
        <x:v>T_Q46</x:v>
      </x:c>
      <x:c r="B48" s="11" t="str">
        <x:v>活动与危机干预</x:v>
      </x:c>
      <x:c r="C48" s="11" t="str">
        <x:v>贵校开展心理健康教育活动的频率为?</x:v>
      </x:c>
      <x:c r="D48" s="11" t="str">
        <x:v>频率有序变量</x:v>
      </x:c>
      <x:c r="E48" s="11" t="str">
        <x:v>按原选项顺序编码；仅在顺序明确时作有序统计，否则报告各类别频数。</x:v>
      </x:c>
      <x:c r="F48" s="11" t="str">
        <x:v>跳题、填空和“不清楚”按规则处理；任何单题异常不自动排除整份问卷。</x:v>
      </x:c>
      <x:c r="G48" s="11" t="str">
        <x:v>活动与危机干预是否常态化、制度化</x:v>
      </x:c>
      <x:c r="H48" s="11" t="str">
        <x:v>不拆分；保留原变量</x:v>
      </x:c>
    </x:row>
    <x:row r="49">
      <x:c r="A49" s="18" t="str">
        <x:v>T_Q47</x:v>
      </x:c>
      <x:c r="B49" s="11" t="str">
        <x:v>活动与危机干预</x:v>
      </x:c>
      <x:c r="C49" s="11" t="str">
        <x:v>贵校每次心理健康教育活动的时长为?</x:v>
      </x:c>
      <x:c r="D49" s="11" t="str">
        <x:v>时长有序变量</x:v>
      </x:c>
      <x:c r="E49" s="11" t="str">
        <x:v>按原选项顺序编码；仅在顺序明确时作有序统计，否则报告各类别频数。</x:v>
      </x:c>
      <x:c r="F49" s="11" t="str">
        <x:v>跳题、填空和“不清楚”按规则处理；任何单题异常不自动排除整份问卷。</x:v>
      </x:c>
      <x:c r="G49" s="11" t="str">
        <x:v>活动与危机干预是否常态化、制度化</x:v>
      </x:c>
      <x:c r="H49" s="11" t="str">
        <x:v>不拆分；保留原变量</x:v>
      </x:c>
    </x:row>
    <x:row r="50">
      <x:c r="A50" s="18" t="str">
        <x:v>T_Q48</x:v>
      </x:c>
      <x:c r="B50" s="11" t="str">
        <x:v>活动与危机干预</x:v>
      </x:c>
      <x:c r="C50" s="11" t="str">
        <x:v>贵校是否有应对危机的干预体系及制度?（如果选择是，请填写危机干预流程）</x:v>
      </x:c>
      <x:c r="D50" s="11" t="str">
        <x:v>是/否/不清楚+文本</x:v>
      </x:c>
      <x:c r="E50" s="11" t="str">
        <x:v>原始编码：是=1、否=0、不清楚=9；“不清楚”作为重要结果单独报告，不直接当普通缺失。</x:v>
      </x:c>
      <x:c r="F50" s="11" t="str">
        <x:v>跳题、填空和“不清楚”按规则处理；任何单题异常不自动排除整份问卷。</x:v>
      </x:c>
      <x:c r="G50" s="11" t="str">
        <x:v>活动与危机干预是否常态化、制度化</x:v>
      </x:c>
      <x:c r="H50" s="11" t="str">
        <x:v>拆分是/否/不清楚字段与说明文本字段</x:v>
      </x:c>
    </x:row>
    <x:row r="51">
      <x:c r="A51" s="18" t="str">
        <x:v>T_Q49</x:v>
      </x:c>
      <x:c r="B51" s="11" t="str">
        <x:v>活动与危机干预</x:v>
      </x:c>
      <x:c r="C51" s="11" t="str">
        <x:v>贵校针对危机情况采取了哪些措施?</x:v>
      </x:c>
      <x:c r="D51" s="11" t="str">
        <x:v>多选题</x:v>
      </x:c>
      <x:c r="E51" s="11" t="str">
        <x:v>按选项拆分为0/1哑变量；若“不清楚”与实质选项同时出现，以实质选项为准并取消“不清楚”。</x:v>
      </x:c>
      <x:c r="F51" s="11" t="str">
        <x:v>跳题、填空和“不清楚”按规则处理；任何单题异常不自动排除整份问卷。</x:v>
      </x:c>
      <x:c r="G51" s="11" t="str">
        <x:v>活动与危机干预是否常态化、制度化</x:v>
      </x:c>
      <x:c r="H51" s="11" t="str">
        <x:v>按原选项生成T_Q49_[选项代码]的0/1变量；“其他”文本另存</x:v>
      </x:c>
    </x:row>
    <x:row r="52">
      <x:c r="A52" s="18" t="str">
        <x:v>T_Q50</x:v>
      </x:c>
      <x:c r="B52" s="11" t="str">
        <x:v>家庭与社会协同</x:v>
      </x:c>
      <x:c r="C52" s="11" t="str">
        <x:v>整体来看，家长对心理问题的了解和关心程度是?</x:v>
      </x:c>
      <x:c r="D52" s="11" t="str">
        <x:v>关注程度有序变量</x:v>
      </x:c>
      <x:c r="E52" s="11" t="str">
        <x:v>按原选项顺序编码；仅在顺序明确时作有序统计，否则报告各类别频数。</x:v>
      </x:c>
      <x:c r="F52" s="11" t="str">
        <x:v>跳题、填空和“不清楚”按规则处理；任何单题异常不自动排除整份问卷。</x:v>
      </x:c>
      <x:c r="G52" s="11" t="str">
        <x:v>家校合作和外部资源是否充足</x:v>
      </x:c>
      <x:c r="H52" s="11" t="str">
        <x:v>不拆分；保留原变量</x:v>
      </x:c>
    </x:row>
    <x:row r="53">
      <x:c r="A53" s="18" t="str">
        <x:v>T_Q51</x:v>
      </x:c>
      <x:c r="B53" s="11" t="str">
        <x:v>家庭与社会协同</x:v>
      </x:c>
      <x:c r="C53" s="11" t="str">
        <x:v>在心理健康教育方面，家庭提供资源的情况是?</x:v>
      </x:c>
      <x:c r="D53" s="11" t="str">
        <x:v>资源程度有序变量</x:v>
      </x:c>
      <x:c r="E53" s="11" t="str">
        <x:v>按原选项顺序编码；仅在顺序明确时作有序统计，否则报告各类别频数。</x:v>
      </x:c>
      <x:c r="F53" s="11" t="str">
        <x:v>跳题、填空和“不清楚”按规则处理；任何单题异常不自动排除整份问卷。</x:v>
      </x:c>
      <x:c r="G53" s="11" t="str">
        <x:v>家校合作和外部资源是否充足</x:v>
      </x:c>
      <x:c r="H53" s="11" t="str">
        <x:v>不拆分；保留原变量</x:v>
      </x:c>
    </x:row>
    <x:row r="54">
      <x:c r="A54" s="18" t="str">
        <x:v>T_Q52</x:v>
      </x:c>
      <x:c r="B54" s="11" t="str">
        <x:v>家庭与社会协同</x:v>
      </x:c>
      <x:c r="C54" s="11" t="str">
        <x:v>贵校学生和家长在心理健康教育方面的配合程度?</x:v>
      </x:c>
      <x:c r="D54" s="11" t="str">
        <x:v>配合结构分类</x:v>
      </x:c>
      <x:c r="E54" s="11" t="str">
        <x:v>保留为分类变量，主要报告频数和百分比；不把名义类别强行当连续分数。</x:v>
      </x:c>
      <x:c r="F54" s="11" t="str">
        <x:v>跳题、填空和“不清楚”按规则处理；任何单题异常不自动排除整份问卷。</x:v>
      </x:c>
      <x:c r="G54" s="11" t="str">
        <x:v>家校合作和外部资源是否充足</x:v>
      </x:c>
      <x:c r="H54" s="11" t="str">
        <x:v>不拆分；保留原变量</x:v>
      </x:c>
    </x:row>
    <x:row r="55">
      <x:c r="A55" s="19" t="str">
        <x:v>T_Q53</x:v>
      </x:c>
      <x:c r="B55" s="12" t="str">
        <x:v>家庭与社会协同</x:v>
      </x:c>
      <x:c r="C55" s="12" t="str">
        <x:v>贵校与社区、医院、社会等在心理健康教育建设方面的合作程度如何?</x:v>
      </x:c>
      <x:c r="D55" s="12" t="str">
        <x:v>合作程度有序变量</x:v>
      </x:c>
      <x:c r="E55" s="12" t="str">
        <x:v>按原选项顺序编码；仅在顺序明确时作有序统计，否则报告各类别频数。</x:v>
      </x:c>
      <x:c r="F55" s="12" t="str">
        <x:v>跳题、填空和“不清楚”按规则处理；任何单题异常不自动排除整份问卷。</x:v>
      </x:c>
      <x:c r="G55" s="12" t="str">
        <x:v>家校合作和外部资源是否充足</x:v>
      </x:c>
      <x:c r="H55" s="12" t="str">
        <x:v>不拆分；保留原变量</x:v>
      </x:c>
    </x:row>
  </x:sheetData>
  <x:mergeCells>
    <x:mergeCell ref="A1:H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28" hidden="0" customWidth="1"/>
    <x:col min="4" max="4" width="42" hidden="0" customWidth="1"/>
    <x:col min="5" max="5" width="58" hidden="0" customWidth="1"/>
    <x:col min="6" max="6" width="22" hidden="0" customWidth="1"/>
    <x:col min="7" max="7" width="56" hidden="0" customWidth="1"/>
  </x:cols>
  <x:sheetData>
    <x:row r="1" ht="28" customHeight="1">
      <x:c r="A1" s="5" t="str">
        <x:v>主观题与访谈材料准备清单（本阶段不编码）</x:v>
      </x:c>
      <x:c r="B1" s="5"/>
      <x:c r="C1" s="5"/>
      <x:c r="D1" s="5"/>
      <x:c r="E1" s="5"/>
      <x:c r="F1" s="5"/>
      <x:c r="G1" s="5"/>
    </x:row>
    <x:row r="2" ht="30" customHeight="1">
      <x:c r="A2" s="9" t="str">
        <x:v>来源</x:v>
      </x:c>
      <x:c r="B2" s="9" t="str">
        <x:v>题号/材料</x:v>
      </x:c>
      <x:c r="C2" s="16" t="str">
        <x:v>建议字段名</x:v>
      </x:c>
      <x:c r="D2" s="9" t="str">
        <x:v>内容</x:v>
      </x:c>
      <x:c r="E2" s="9" t="str">
        <x:v>本阶段允许处理</x:v>
      </x:c>
      <x:c r="F2" s="9" t="str">
        <x:v>状态</x:v>
      </x:c>
      <x:c r="G2" s="9" t="str">
        <x:v>边界与注意事项</x:v>
      </x:c>
    </x:row>
    <x:row r="3">
      <x:c r="A3" s="10" t="str">
        <x:v>学生问卷</x:v>
      </x:c>
      <x:c r="B3" s="10" t="str">
        <x:v>Q3</x:v>
      </x:c>
      <x:c r="C3" s="17" t="str">
        <x:v>S_Q3_TOPIC_TEXT</x:v>
      </x:c>
      <x:c r="D3" s="10" t="str">
        <x:v>喜欢的课程主题</x:v>
      </x:c>
      <x:c r="E3" s="10" t="str">
        <x:v>保留原文；统一空白字符；必要时去除可识别个人信息</x:v>
      </x:c>
      <x:c r="F3" s="10" t="str">
        <x:v>待第三部分编码</x:v>
      </x:c>
      <x:c r="G3" s="10" t="str">
        <x:v>不得在预处理阶段分配主题代码</x:v>
      </x:c>
    </x:row>
    <x:row r="4">
      <x:c r="A4" s="11" t="str">
        <x:v>学生问卷</x:v>
      </x:c>
      <x:c r="B4" s="11" t="str">
        <x:v>Q4</x:v>
      </x:c>
      <x:c r="C4" s="18" t="str">
        <x:v>S_Q4_ACTIVITY_TEXT</x:v>
      </x:c>
      <x:c r="D4" s="11" t="str">
        <x:v>喜欢的活动形式</x:v>
      </x:c>
      <x:c r="E4" s="11" t="str">
        <x:v>同上</x:v>
      </x:c>
      <x:c r="F4" s="11" t="str">
        <x:v>待第三部分编码</x:v>
      </x:c>
      <x:c r="G4" s="11" t="str">
        <x:v>偏题或含义不明仅作文本质量标记</x:v>
      </x:c>
    </x:row>
    <x:row r="5">
      <x:c r="A5" s="11" t="str">
        <x:v>学生问卷</x:v>
      </x:c>
      <x:c r="B5" s="11" t="str">
        <x:v>Q5</x:v>
      </x:c>
      <x:c r="C5" s="18" t="str">
        <x:v>S_Q5_EXPECT_TEXT</x:v>
      </x:c>
      <x:c r="D5" s="11" t="str">
        <x:v>对学校心理健康教育的期望</x:v>
      </x:c>
      <x:c r="E5" s="11" t="str">
        <x:v>同上</x:v>
      </x:c>
      <x:c r="F5" s="11" t="str">
        <x:v>待第三部分编码</x:v>
      </x:c>
      <x:c r="G5" s="11" t="str">
        <x:v>无/空白不解释为满意</x:v>
      </x:c>
    </x:row>
    <x:row r="6">
      <x:c r="A6" s="11" t="str">
        <x:v>家长问卷</x:v>
      </x:c>
      <x:c r="B6" s="11" t="str">
        <x:v>Q7填空</x:v>
      </x:c>
      <x:c r="C6" s="18" t="str">
        <x:v>P_Q7_EXTERNAL_SUPPORT_TEXT</x:v>
      </x:c>
      <x:c r="D6" s="11" t="str">
        <x:v>校外促进方式</x:v>
      </x:c>
      <x:c r="E6" s="11" t="str">
        <x:v>从二元选择旁的填空中单独提取；保留原文和样本ID</x:v>
      </x:c>
      <x:c r="F6" s="11" t="str">
        <x:v>待第三部分编码</x:v>
      </x:c>
      <x:c r="G6" s="11" t="str">
        <x:v>空填不解释为否</x:v>
      </x:c>
    </x:row>
    <x:row r="7">
      <x:c r="A7" s="11" t="str">
        <x:v>家长问卷</x:v>
      </x:c>
      <x:c r="B7" s="11" t="str">
        <x:v>Q8</x:v>
      </x:c>
      <x:c r="C7" s="18" t="str">
        <x:v>P_Q8_SUGGEST_TEXT</x:v>
      </x:c>
      <x:c r="D7" s="11" t="str">
        <x:v>学校建设建议</x:v>
      </x:c>
      <x:c r="E7" s="11" t="str">
        <x:v>保留原文；P052保留质量标记</x:v>
      </x:c>
      <x:c r="F7" s="11" t="str">
        <x:v>待第三部分编码</x:v>
      </x:c>
      <x:c r="G7" s="11" t="str">
        <x:v>P052不进入主题频次的决定须在正式分析中说明</x:v>
      </x:c>
    </x:row>
    <x:row r="8">
      <x:c r="A8" s="11" t="str">
        <x:v>教师问卷</x:v>
      </x:c>
      <x:c r="B8" s="11" t="str">
        <x:v>Q9等多选题</x:v>
      </x:c>
      <x:c r="C8" s="18" t="str">
        <x:v>T_Qxx_OTHER_TEXT</x:v>
      </x:c>
      <x:c r="D8" s="11" t="str">
        <x:v>各题“其他”补充</x:v>
      </x:c>
      <x:c r="E8" s="11" t="str">
        <x:v>按题目分别提取，禁止混成同一文本池</x:v>
      </x:c>
      <x:c r="F8" s="11" t="str">
        <x:v>待第三部分编码</x:v>
      </x:c>
      <x:c r="G8" s="11" t="str">
        <x:v>字段名需在获得数据预处理记录后按选项核定</x:v>
      </x:c>
    </x:row>
    <x:row r="9">
      <x:c r="A9" s="11" t="str">
        <x:v>教师问卷</x:v>
      </x:c>
      <x:c r="B9" s="11" t="str">
        <x:v>Q16</x:v>
      </x:c>
      <x:c r="C9" s="18" t="str">
        <x:v>T_Q16_CERT_TEXT</x:v>
      </x:c>
      <x:c r="D9" s="11" t="str">
        <x:v>证书名称</x:v>
      </x:c>
      <x:c r="E9" s="11" t="str">
        <x:v>与是/否/不清楚变量分离</x:v>
      </x:c>
      <x:c r="F9" s="11" t="str">
        <x:v>待第三部分编码</x:v>
      </x:c>
      <x:c r="G9" s="11" t="str">
        <x:v>空填不解释为没有证书</x:v>
      </x:c>
    </x:row>
    <x:row r="10">
      <x:c r="A10" s="11" t="str">
        <x:v>教师问卷</x:v>
      </x:c>
      <x:c r="B10" s="11" t="str">
        <x:v>Q35</x:v>
      </x:c>
      <x:c r="C10" s="18" t="str">
        <x:v>T_Q35_TEXTBOOK_TEXT</x:v>
      </x:c>
      <x:c r="D10" s="11" t="str">
        <x:v>教材版本</x:v>
      </x:c>
      <x:c r="E10" s="11" t="str">
        <x:v>与教材类别分离</x:v>
      </x:c>
      <x:c r="F10" s="11" t="str">
        <x:v>待第三部分编码</x:v>
      </x:c>
      <x:c r="G10" s="11" t="str">
        <x:v>保留版本名称原文</x:v>
      </x:c>
    </x:row>
    <x:row r="11">
      <x:c r="A11" s="11" t="str">
        <x:v>教师问卷</x:v>
      </x:c>
      <x:c r="B11" s="11" t="str">
        <x:v>Q43</x:v>
      </x:c>
      <x:c r="C11" s="18" t="str">
        <x:v>T_Q43_STANDARD_TEXT</x:v>
      </x:c>
      <x:c r="D11" s="11" t="str">
        <x:v>课时计算标准</x:v>
      </x:c>
      <x:c r="E11" s="11" t="str">
        <x:v>与是否计入课时变量分离</x:v>
      </x:c>
      <x:c r="F11" s="11" t="str">
        <x:v>待第三部分编码</x:v>
      </x:c>
      <x:c r="G11" s="11" t="str">
        <x:v>用于解释制度落实细节</x:v>
      </x:c>
    </x:row>
    <x:row r="12">
      <x:c r="A12" s="11" t="str">
        <x:v>教师问卷</x:v>
      </x:c>
      <x:c r="B12" s="11" t="str">
        <x:v>Q48</x:v>
      </x:c>
      <x:c r="C12" s="18" t="str">
        <x:v>T_Q48_PROCESS_TEXT</x:v>
      </x:c>
      <x:c r="D12" s="11" t="str">
        <x:v>危机干预流程</x:v>
      </x:c>
      <x:c r="E12" s="11" t="str">
        <x:v>与是否存在制度变量分离；匿名化人员信息</x:v>
      </x:c>
      <x:c r="F12" s="11" t="str">
        <x:v>待第三部分编码</x:v>
      </x:c>
      <x:c r="G12" s="11" t="str">
        <x:v>属于制度文本，不在预处理阶段评价完整性</x:v>
      </x:c>
    </x:row>
    <x:row r="13">
      <x:c r="A13" s="11" t="str">
        <x:v>教师问卷</x:v>
      </x:c>
      <x:c r="B13" s="11" t="str">
        <x:v>其他补充题</x:v>
      </x:c>
      <x:c r="C13" s="18" t="str">
        <x:v>按题号命名</x:v>
      </x:c>
      <x:c r="D13" s="11" t="str">
        <x:v>课程频率、主题、形式、辅导时间、活动频率/时长及措施补充</x:v>
      </x:c>
      <x:c r="E13" s="11" t="str">
        <x:v>逐题建立文本字段清单</x:v>
      </x:c>
      <x:c r="F13" s="11" t="str">
        <x:v>待第三部分编码</x:v>
      </x:c>
      <x:c r="G13" s="11" t="str">
        <x:v>获得数据预处理记录后复核实际非空字段</x:v>
      </x:c>
    </x:row>
    <x:row r="14">
      <x:c r="A14" s="11" t="str">
        <x:v>访谈</x:v>
      </x:c>
      <x:c r="B14" s="11" t="str">
        <x:v>访谈提纲</x:v>
      </x:c>
      <x:c r="C14" s="18" t="str">
        <x:v>INTERVIEW_GUIDE</x:v>
      </x:c>
      <x:c r="D14" s="11" t="str">
        <x:v>访谈前提纲与访谈实施提纲</x:v>
      </x:c>
      <x:c r="E14" s="11" t="str">
        <x:v>保留版本、来源和形成时间；不合并覆盖</x:v>
      </x:c>
      <x:c r="F14" s="11" t="str">
        <x:v>材料准备完成</x:v>
      </x:c>
      <x:c r="G14" s="11" t="str">
        <x:v>实施提纲用于记录实际提问与追问结构</x:v>
      </x:c>
    </x:row>
    <x:row r="15">
      <x:c r="A15" s="12" t="str">
        <x:v>访谈</x:v>
      </x:c>
      <x:c r="B15" s="12" t="str">
        <x:v>校订稿</x:v>
      </x:c>
      <x:c r="C15" s="19" t="str">
        <x:v>INTERVIEW_TRANSCRIPT_EDITED</x:v>
      </x:c>
      <x:c r="D15" s="12" t="str">
        <x:v>访谈实录校订稿</x:v>
      </x:c>
      <x:c r="E15" s="12" t="str">
        <x:v>保留说话者、顺序和语义；去除不必要身份信息；与原始录音/逐字稿区别标注</x:v>
      </x:c>
      <x:c r="F15" s="12" t="str">
        <x:v>待第三部分编码</x:v>
      </x:c>
      <x:c r="G15" s="12" t="str">
        <x:v>本阶段不形成代码、范畴或主题</x:v>
      </x:c>
    </x:row>
  </x:sheetData>
  <x:mergeCells>
    <x:mergeCell ref="A1:G1"/>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2" hidden="0" customWidth="1"/>
    <x:col min="2" max="2" width="84" hidden="0" customWidth="1"/>
    <x:col min="3" max="3" width="64" hidden="0" customWidth="1"/>
  </x:cols>
  <x:sheetData>
    <x:row r="1" ht="28" customHeight="1">
      <x:c r="A1" s="5" t="str">
        <x:v>通用数据清洗、缺失与判定规则</x:v>
      </x:c>
      <x:c r="B1" s="5"/>
      <x:c r="C1" s="5"/>
    </x:row>
    <x:row r="2" ht="30" customHeight="1">
      <x:c r="A2" s="9" t="str">
        <x:v>处理层级</x:v>
      </x:c>
      <x:c r="B2" s="9" t="str">
        <x:v>规则</x:v>
      </x:c>
      <x:c r="C2" s="9" t="str">
        <x:v>本次应用说明</x:v>
      </x:c>
    </x:row>
    <x:row r="3">
      <x:c r="A3" s="10" t="str">
        <x:v>整份排除</x:v>
      </x:c>
      <x:c r="B3" s="10" t="str">
        <x:v>仅在明确重复、人口学不可能值、封闭题大量缺失/越界或整份明显机械/无意义作答时采用。</x:v>
      </x:c>
      <x:c r="C3" s="10" t="str">
        <x:v>不因真实的负面、极端意见或单个异常题项删除整份问卷。</x:v>
      </x:c>
    </x:row>
    <x:row r="4">
      <x:c r="A4" s="11" t="str">
        <x:v>重复提交</x:v>
      </x:c>
      <x:c r="B4" s="11" t="str">
        <x:v>综合提交时间、脱敏IP、封闭题相似度和开放文本判断；单一同IP不能作为排除依据。</x:v>
      </x:c>
      <x:c r="C4" s="11" t="str">
        <x:v>家长P030、P037、P038、P063达到重复提交判定的证据链标准。</x:v>
      </x:c>
    </x:row>
    <x:row r="5">
      <x:c r="A5" s="11" t="str">
        <x:v>短时作答</x:v>
      </x:c>
      <x:c r="B5" s="11" t="str">
        <x:v>仅作风险标记；复核完整性、重复性和逻辑后再决定。</x:v>
      </x:c>
      <x:c r="C5" s="11" t="str">
        <x:v>P028、P080证据不足，保留。</x:v>
      </x:c>
    </x:row>
    <x:row r="6">
      <x:c r="A6" s="11" t="str">
        <x:v>题项级缺失</x:v>
      </x:c>
      <x:c r="B6" s="11" t="str">
        <x:v>局部逻辑冲突或异常只影响对应分析变量。</x:v>
      </x:c>
      <x:c r="C6" s="11" t="str">
        <x:v>P002、P055的Q4评价设为题项级缺失。</x:v>
      </x:c>
    </x:row>
    <x:row r="7">
      <x:c r="A7" s="11" t="str">
        <x:v>结构性缺失</x:v>
      </x:c>
      <x:c r="B7" s="11" t="str">
        <x:v>由跳题逻辑决定该题对作答者不适用。</x:v>
      </x:c>
      <x:c r="C7" s="11" t="str">
        <x:v>教师Q14为无心理教师时，Q15—Q19结构性缺失。</x:v>
      </x:c>
    </x:row>
    <x:row r="8">
      <x:c r="A8" s="11" t="str">
        <x:v>一般缺失</x:v>
      </x:c>
      <x:c r="B8" s="11" t="str">
        <x:v>题目适用但未作答、无法辨认或不在合法范围。</x:v>
      </x:c>
      <x:c r="C8" s="11" t="str">
        <x:v>与结构性缺失分开记录。</x:v>
      </x:c>
    </x:row>
    <x:row r="9">
      <x:c r="A9" s="11" t="str">
        <x:v>不清楚</x:v>
      </x:c>
      <x:c r="B9" s="11" t="str">
        <x:v>教师问卷中的“不清楚”反映信息透明度和教师知情程度。</x:v>
      </x:c>
      <x:c r="C9" s="11" t="str">
        <x:v>描述统计单独报告；不编码为普通缺失或否。</x:v>
      </x:c>
    </x:row>
    <x:row r="10">
      <x:c r="A10" s="11" t="str">
        <x:v>多选题</x:v>
      </x:c>
      <x:c r="B10" s="11" t="str">
        <x:v>每个实质选项拆成0/1字段；“不清楚”与实质选项并存时保留实质项并取消不清楚标记。</x:v>
      </x:c>
      <x:c r="C10" s="11" t="str">
        <x:v>字段名称在获得原始选项编码后最终核定。</x:v>
      </x:c>
    </x:row>
    <x:row r="11">
      <x:c r="A11" s="11" t="str">
        <x:v>文本字段</x:v>
      </x:c>
      <x:c r="B11" s="11" t="str">
        <x:v>本阶段只提取、匿名化、整理来源和质量状态，不分配主题代码。</x:v>
      </x:c>
      <x:c r="C11" s="11" t="str">
        <x:v>开放题和访谈正式编码移至第三部分。</x:v>
      </x:c>
    </x:row>
    <x:row r="12">
      <x:c r="A12" s="12" t="str">
        <x:v>隐私保护</x:v>
      </x:c>
      <x:c r="B12" s="12" t="str">
        <x:v>IP仅用于重复筛查；工作文件中脱敏，报告不呈现。</x:v>
      </x:c>
      <x:c r="C12" s="12" t="str">
        <x:v>不依据IP所在地推断身份。</x:v>
      </x:c>
    </x:row>
  </x:sheetData>
  <x:mergeCells>
    <x:mergeCell ref="A1:C1"/>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8" hidden="0" customWidth="1"/>
    <x:col min="2" max="2" width="58" hidden="0" customWidth="1"/>
    <x:col min="3" max="3" width="64" hidden="0" customWidth="1"/>
    <x:col min="4" max="4" width="42" hidden="0" customWidth="1"/>
  </x:cols>
  <x:sheetData>
    <x:row r="1" ht="28" customHeight="1">
      <x:c r="A1" s="5" t="str">
        <x:v>研究流程与资料来源记录</x:v>
      </x:c>
      <x:c r="B1" s="5"/>
      <x:c r="C1" s="5"/>
      <x:c r="D1" s="5"/>
    </x:row>
    <x:row r="2" ht="30" customHeight="1">
      <x:c r="A2" s="9" t="str">
        <x:v>流程内容</x:v>
      </x:c>
      <x:c r="B2" s="9" t="str">
        <x:v>来源</x:v>
      </x:c>
      <x:c r="C2" s="9" t="str">
        <x:v>处理</x:v>
      </x:c>
      <x:c r="D2" s="9" t="str">
        <x:v>理由</x:v>
      </x:c>
    </x:row>
    <x:row r="3">
      <x:c r="A3" s="10" t="str">
        <x:v>样本筛查总览</x:v>
      </x:c>
      <x:c r="B3" s="10" t="str">
        <x:v>01分析计划_问卷数据筛查与变量编码.xlsx/样本筛查总览</x:v>
      </x:c>
      <x:c r="C3" s="10" t="str">
        <x:v>保留结论；样本数改为由逐份筛查表公式计算</x:v>
      </x:c>
      <x:c r="D3" s="10" t="str">
        <x:v>可追溯并减少手工不一致</x:v>
      </x:c>
    </x:row>
    <x:row r="4">
      <x:c r="A4" s="11" t="str">
        <x:v>学生/家长/教师样本筛查</x:v>
      </x:c>
      <x:c r="B4" s="11" t="str">
        <x:v>同一工作簿对应逐份筛查表</x:v>
      </x:c>
      <x:c r="C4" s="11" t="str">
        <x:v>原记录逐行复制；未改变处理决定和理由</x:v>
      </x:c>
      <x:c r="D4" s="11" t="str">
        <x:v>研究过程记录</x:v>
      </x:c>
    </x:row>
    <x:row r="5">
      <x:c r="A5" s="11" t="str">
        <x:v>三类变量字典</x:v>
      </x:c>
      <x:c r="B5" s="11" t="str">
        <x:v>同一工作簿三张变量字典</x:v>
      </x:c>
      <x:c r="C5" s="11" t="str">
        <x:v>保留原规则；把派生变量和复合题拆分规则显式化</x:v>
      </x:c>
      <x:c r="D5" s="11" t="str">
        <x:v>提高可复现性</x:v>
      </x:c>
    </x:row>
    <x:row r="6">
      <x:c r="A6" s="11" t="str">
        <x:v>开放题编码框架</x:v>
      </x:c>
      <x:c r="B6" s="11" t="str">
        <x:v>原工作簿/开放题编码框架</x:v>
      </x:c>
      <x:c r="C6" s="11" t="str">
        <x:v>本阶段不纳入；后续移交第三部分正式分析</x:v>
      </x:c>
      <x:c r="D6" s="11" t="str">
        <x:v>符合用户指定的阶段边界</x:v>
      </x:c>
    </x:row>
    <x:row r="7">
      <x:c r="A7" s="11" t="str">
        <x:v>结论导向分析框架</x:v>
      </x:c>
      <x:c r="B7" s="11" t="str">
        <x:v>原工作簿/结论导向分析框架</x:v>
      </x:c>
      <x:c r="C7" s="11" t="str">
        <x:v>不在预处理工作簿重复；已纳入第一部分分析计划</x:v>
      </x:c>
      <x:c r="D7" s="11" t="str">
        <x:v>避免阶段混杂</x:v>
      </x:c>
    </x:row>
    <x:row r="8">
      <x:c r="A8" s="11" t="str">
        <x:v>质性材料准备清单</x:v>
      </x:c>
      <x:c r="B8" s="11" t="str">
        <x:v>三类问卷题本、访谈提纲、访谈校订稿及题本—变量核对记录</x:v>
      </x:c>
      <x:c r="C8" s="11" t="str">
        <x:v>新增，仅记录材料准备，不做编码</x:v>
      </x:c>
      <x:c r="D8" s="11" t="str">
        <x:v>补足质性前处理留痕</x:v>
      </x:c>
    </x:row>
    <x:row r="9">
      <x:c r="A9" s="12" t="str">
        <x:v>数据预处理记录</x:v>
      </x:c>
      <x:c r="B9" s="12" t="str">
        <x:v>原始数据归档说明</x:v>
      </x:c>
      <x:c r="C9" s="12" t="str">
        <x:v>不创建清洗后个案数据表</x:v>
      </x:c>
      <x:c r="D9" s="12" t="str">
        <x:v>待原始逐题作答数据补充后再生成</x:v>
      </x:c>
    </x:row>
  </x:sheetData>
  <x:mergeCells>
    <x:mergeCell ref="A1:D1"/>
  </x:mergeCells>
  <x:pageMargins left="0.7" right="0.7" top="0.75" bottom="0.75" header="0.3" footer="0.3"/>
</x:worksheet>
</file>