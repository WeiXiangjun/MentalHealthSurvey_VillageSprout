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bcebc29af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整合边界" sheetId="1" r:id="R61c4645121d74ea9"/>
    <x:sheet xmlns:r="http://schemas.openxmlformats.org/officeDocument/2006/relationships" name="跨来源证据矩阵" sheetId="2" r:id="R0e0a01ff74414862"/>
    <x:sheet xmlns:r="http://schemas.openxmlformats.org/officeDocument/2006/relationships" name="量化关键指标" sheetId="3" r:id="Rcba53bbc006f4358"/>
    <x:sheet xmlns:r="http://schemas.openxmlformats.org/officeDocument/2006/relationships" name="张力与解释" sheetId="4" r:id="R252cb2928ba34267"/>
    <x:sheet xmlns:r="http://schemas.openxmlformats.org/officeDocument/2006/relationships" name="建议优先级" sheetId="5" r:id="Rb5c5c6e45ca2447f"/>
    <x:sheet xmlns:r="http://schemas.openxmlformats.org/officeDocument/2006/relationships" name="实施与评估框架" sheetId="6" r:id="R77d847163c6944c2"/>
    <x:sheet xmlns:r="http://schemas.openxmlformats.org/officeDocument/2006/relationships" name="限制与待补" sheetId="7" r:id="Rf80277eed3eb4826"/>
    <x:sheet xmlns:r="http://schemas.openxmlformats.org/officeDocument/2006/relationships" name="来源索引" sheetId="8" r:id="R716bd0dde902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0.00"/>
  </x:numFmts>
  <x:fonts count="6">
    <x:font>
      <x:sz val="11"/>
      <x:name val="Carlito"/>
    </x:font>
    <x:font>
      <x:sz val="10"/>
      <x:color rgb="FF1F1F1F"/>
      <x:name val="宋体"/>
    </x:font>
    <x:font>
      <x:b/>
      <x:sz val="15"/>
      <x:color rgb="FFFFFFFF"/>
      <x:name val="黑体"/>
    </x:font>
    <x:font>
      <x:b/>
      <x:sz val="10"/>
      <x:color rgb="FF1F1F1F"/>
      <x:name val="黑体"/>
    </x:font>
    <x:font>
      <x:b/>
      <x:sz val="10"/>
      <x:color rgb="FF1F1F1F"/>
      <x:name val="Times New Roman"/>
    </x:font>
    <x:font>
      <x:sz val="10"/>
      <x:color rgb="FF1F1F1F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D9D9D9"/>
      </x:patternFill>
    </x:fill>
  </x:fills>
  <x:borders count="5">
    <x:border/>
    <x:border>
      <x:bottom style="medium">
        <x:color rgb="FF1F1F1F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medium">
        <x:color rgb="FF1F1F1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  <x:xf numFmtId="200" fontId="1" fillId="0" borderId="3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horizontal="center" vertical="center" wrapText="1"/>
    </x:xf>
    <x:xf numFmtId="201" fontId="1" fillId="0" borderId="2" xfId="0" applyNumberFormat="1" applyFont="1" applyFill="1" applyBorder="1" applyAlignment="1">
      <x:alignment horizontal="center" vertical="center" wrapText="1"/>
    </x:xf>
    <x:xf numFmtId="201" fontId="1" fillId="0" borderId="3" xfId="0" applyNumberFormat="1" applyFont="1" applyFill="1" applyBorder="1" applyAlignment="1">
      <x:alignment horizontal="center" vertical="center" wrapText="1"/>
    </x:xf>
    <x:xf numFmtId="201" fontId="1" fillId="0" borderId="4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202" fontId="1" fillId="0" borderId="2" xfId="0" applyNumberFormat="1" applyFont="1" applyFill="1" applyBorder="1" applyAlignment="1">
      <x:alignment horizontal="center" vertical="center" wrapText="1"/>
    </x:xf>
    <x:xf numFmtId="202" fontId="1" fillId="0" borderId="3" xfId="0" applyNumberFormat="1" applyFont="1" applyFill="1" applyBorder="1" applyAlignment="1">
      <x:alignment horizontal="center" vertical="center" wrapText="1"/>
    </x:xf>
    <x:xf numFmtId="202" fontId="1" fillId="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9c09716b9d4236" /><Relationship Type="http://schemas.openxmlformats.org/officeDocument/2006/relationships/theme" Target="/xl/theme/theme1.xml" Id="Rebef0fa432ce4bb8" /><Relationship Type="http://schemas.openxmlformats.org/officeDocument/2006/relationships/sharedStrings" Target="/xl/sharedStrings.xml" Id="R741430e43960444c" /><Relationship Type="http://schemas.openxmlformats.org/officeDocument/2006/relationships/worksheet" Target="/xl/worksheets/sheet1.xml" Id="R61c4645121d74ea9" /><Relationship Type="http://schemas.openxmlformats.org/officeDocument/2006/relationships/worksheet" Target="/xl/worksheets/sheet2.xml" Id="R0e0a01ff74414862" /><Relationship Type="http://schemas.openxmlformats.org/officeDocument/2006/relationships/worksheet" Target="/xl/worksheets/sheet3.xml" Id="Rcba53bbc006f4358" /><Relationship Type="http://schemas.openxmlformats.org/officeDocument/2006/relationships/worksheet" Target="/xl/worksheets/sheet4.xml" Id="R252cb2928ba34267" /><Relationship Type="http://schemas.openxmlformats.org/officeDocument/2006/relationships/worksheet" Target="/xl/worksheets/sheet5.xml" Id="Rb5c5c6e45ca2447f" /><Relationship Type="http://schemas.openxmlformats.org/officeDocument/2006/relationships/worksheet" Target="/xl/worksheets/sheet6.xml" Id="R77d847163c6944c2" /><Relationship Type="http://schemas.openxmlformats.org/officeDocument/2006/relationships/worksheet" Target="/xl/worksheets/sheet7.xml" Id="Rf80277eed3eb4826" /><Relationship Type="http://schemas.openxmlformats.org/officeDocument/2006/relationships/worksheet" Target="/xl/worksheets/sheet8.xml" Id="R716bd0dde90246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78" hidden="0" customWidth="1"/>
    <x:col min="4" max="4" width="38" hidden="0" customWidth="1"/>
  </x:cols>
  <x:sheetData>
    <x:row r="1" ht="28" customHeight="1">
      <x:c r="A1" s="5" t="str">
        <x:v>跨来源综合分析：使用说明与证据边界</x:v>
      </x:c>
      <x:c r="B1" s="5"/>
      <x:c r="C1" s="5"/>
      <x:c r="D1" s="5"/>
    </x:row>
    <x:row r="2" ht="30" customHeight="1">
      <x:c r="A2" s="9" t="str">
        <x:v>项目</x:v>
      </x:c>
      <x:c r="B2" s="9" t="str">
        <x:v>状态</x:v>
      </x:c>
      <x:c r="C2" s="9" t="str">
        <x:v>说明</x:v>
      </x:c>
      <x:c r="D2" s="9" t="str">
        <x:v>依据</x:v>
      </x:c>
    </x:row>
    <x:row r="3">
      <x:c r="A3" s="10" t="str">
        <x:v>阶段定位</x:v>
      </x:c>
      <x:c r="B3" s="10" t="str">
        <x:v>第五部分：跨来源综合</x:v>
      </x:c>
      <x:c r="C3" s="10" t="str">
        <x:v>对学生、家长、教师和学校负责人访谈进行证据三角互证，不替代四份来源内分析。</x:v>
      </x:c>
      <x:c r="D3" s="10" t="str">
        <x:v>用户确认的项目结构</x:v>
      </x:c>
    </x:row>
    <x:row r="4">
      <x:c r="A4" s="11" t="str">
        <x:v>证据关系</x:v>
      </x:c>
      <x:c r="B4" s="11" t="str">
        <x:v>一致/互补/张力/单一来源</x:v>
      </x:c>
      <x:c r="C4" s="11" t="str">
        <x:v>一致表示方向相符；互补表示从不同角色解释同一现象；张力表示感知或口径不同；单一来源不外推。</x:v>
      </x:c>
      <x:c r="D4" s="11" t="str">
        <x:v>混合方法整合原则</x:v>
      </x:c>
    </x:row>
    <x:row r="5">
      <x:c r="A5" s="11" t="str">
        <x:v>量化结果</x:v>
      </x:c>
      <x:c r="B5" s="11" t="str">
        <x:v>完成正式分析</x:v>
      </x:c>
      <x:c r="C5" s="11" t="str">
        <x:v>本工作簿整合三类问卷的正式分析结果与访谈主题，并保留各来源的样本范围和解释边界。</x:v>
      </x:c>
      <x:c r="D5" s="11" t="str">
        <x:v>四份正式分析工作簿</x:v>
      </x:c>
    </x:row>
    <x:row r="6">
      <x:c r="A6" s="11" t="str">
        <x:v>质性结果</x:v>
      </x:c>
      <x:c r="B6" s="11" t="str">
        <x:v>主题层面整合</x:v>
      </x:c>
      <x:c r="C6" s="11" t="str">
        <x:v>编码员1编码和编码员2体系非同构，不以伪kappa替代实质核对。</x:v>
      </x:c>
      <x:c r="D6" s="11" t="str">
        <x:v>编码体系对照</x:v>
      </x:c>
    </x:row>
    <x:row r="7">
      <x:c r="A7" s="11" t="str">
        <x:v>建议形成</x:v>
      </x:c>
      <x:c r="B7" s="11" t="str">
        <x:v>证据链驱动</x:v>
      </x:c>
      <x:c r="C7" s="11" t="str">
        <x:v>建议优先级同时考虑来源覆盖、风险紧迫性和现实可行性；不把统计相关写成因果。</x:v>
      </x:c>
      <x:c r="D7" s="11" t="str">
        <x:v>跨来源证据矩阵</x:v>
      </x:c>
    </x:row>
    <x:row r="8">
      <x:c r="A8" s="12" t="str">
        <x:v>适用范围</x:v>
      </x:c>
      <x:c r="B8" s="12" t="str">
        <x:v>个案性调研</x:v>
      </x:c>
      <x:c r="C8" s="12" t="str">
        <x:v>教师样本17名、负责人访谈1人；结论服务于本校改进与项目设计，不代表所有乡镇学校。</x:v>
      </x:c>
      <x:c r="D8" s="12" t="str">
        <x:v>样本结构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6" hidden="0" customWidth="1"/>
    <x:col min="3" max="3" width="56" hidden="0" customWidth="1"/>
    <x:col min="4" max="4" width="58" hidden="0" customWidth="1"/>
    <x:col min="5" max="5" width="62" hidden="0" customWidth="1"/>
    <x:col min="6" max="6" width="20" hidden="0" customWidth="1"/>
    <x:col min="7" max="7" width="72" hidden="0" customWidth="1"/>
    <x:col min="8" max="8" width="16" hidden="0" customWidth="1"/>
  </x:cols>
  <x:sheetData>
    <x:row r="1" ht="28" customHeight="1">
      <x:c r="A1" s="5" t="str">
        <x:v>学生、家长、教师与访谈的跨来源证据矩阵</x:v>
      </x:c>
      <x:c r="B1" s="5"/>
      <x:c r="C1" s="5"/>
      <x:c r="D1" s="5"/>
      <x:c r="E1" s="5"/>
      <x:c r="F1" s="5"/>
      <x:c r="G1" s="5"/>
      <x:c r="H1" s="5"/>
    </x:row>
    <x:row r="2" ht="30" customHeight="1">
      <x:c r="A2" s="9" t="str">
        <x:v>整合主题</x:v>
      </x:c>
      <x:c r="B2" s="9" t="str">
        <x:v>学生问卷证据</x:v>
      </x:c>
      <x:c r="C2" s="9" t="str">
        <x:v>家长问卷证据</x:v>
      </x:c>
      <x:c r="D2" s="9" t="str">
        <x:v>教师问卷证据</x:v>
      </x:c>
      <x:c r="E2" s="9" t="str">
        <x:v>访谈证据</x:v>
      </x:c>
      <x:c r="F2" s="9" t="str">
        <x:v>证据关系</x:v>
      </x:c>
      <x:c r="G2" s="9" t="str">
        <x:v>综合判断</x:v>
      </x:c>
      <x:c r="H2" s="9" t="str">
        <x:v>有证据来源数</x:v>
      </x:c>
    </x:row>
    <x:row r="3">
      <x:c r="A3" s="10" t="str">
        <x:v>现有基础与总体认可</x:v>
      </x:c>
      <x:c r="B3" s="10" t="str">
        <x:v>满意度4—5分79/99（79.8%）；多数学生认可现有工作。</x:v>
      </x:c>
      <x:c r="C3" s="10" t="str">
        <x:v>满意度4—5分55/87（63.2%）；参与后的评价多数积极。</x:v>
      </x:c>
      <x:c r="D3" s="10" t="str">
        <x:v>课程、活动、辅导和筛查获多数确认，领导重视度高。</x:v>
      </x:c>
      <x:c r="E3" s="10" t="str">
        <x:v>已有普查、安心课、班主任谈话、德育协同和公益讲座。</x:v>
      </x:c>
      <x:c r="F3" s="13" t="str">
        <x:v>一致</x:v>
      </x:c>
      <x:c r="G3" s="10" t="str">
        <x:v>学校并非从零起步；改进应建立在已有工作与教师投入之上，而非用‘不重视’概括。</x:v>
      </x:c>
      <x:c r="H3" s="16" t="n">
        <x:f>COUNTA(B3:E3)</x:f>
        <x:v>4</x:v>
      </x:c>
    </x:row>
    <x:row r="4">
      <x:c r="A4" s="11" t="str">
        <x:v>工作可见度与知晓差距</x:v>
      </x:c>
      <x:c r="B4" s="11" t="str">
        <x:v>了解度4—5分69.7%，显著低于满意度；了解与满意正相关。</x:v>
      </x:c>
      <x:c r="C4" s="11" t="str">
        <x:v>了解度4—5分59.8%，低于满意度；了解与满意正相关。</x:v>
      </x:c>
      <x:c r="D4" s="11" t="str">
        <x:v>师资、资质、经费、转介和危机制度存在较高‘不清楚’比例。</x:v>
      </x:c>
      <x:c r="E4" s="11" t="str">
        <x:v>部分工作依赖少数人员和日常管理，专业流程未被普遍说明。</x:v>
      </x:c>
      <x:c r="F4" s="14" t="str">
        <x:v>一致+互补</x:v>
      </x:c>
      <x:c r="G4" s="11" t="str">
        <x:v>学校开展了工作，但学生、家长和普通教师未必知道内容、人员和求助路径。</x:v>
      </x:c>
      <x:c r="H4" s="17" t="n">
        <x:f>COUNTA(B4:E4)</x:f>
        <x:v>4</x:v>
      </x:c>
    </x:row>
    <x:row r="5">
      <x:c r="A5" s="11" t="str">
        <x:v>课程内容与学生需求匹配</x:v>
      </x:c>
      <x:c r="B5" s="11" t="str">
        <x:v>需求集中于人际交往、情绪调节、压力与学习管理；偏好互动体验。</x:v>
      </x:c>
      <x:c r="C5" s="11" t="str">
        <x:v>建议增加课程活动并关注个体情绪与需要。</x:v>
      </x:c>
      <x:c r="D5" s="11" t="str">
        <x:v>教师报告课程主题覆盖自我情绪、人际、学习与适应。</x:v>
      </x:c>
      <x:c r="E5" s="11" t="str">
        <x:v>安心课和讲座承担普及教育，但形式和频率有限。</x:v>
      </x:c>
      <x:c r="F5" s="14" t="str">
        <x:v>部分一致</x:v>
      </x:c>
      <x:c r="G5" s="11" t="str">
        <x:v>课程主题总体对接需求，下一步重点是增强参与性、连续性与个别支持入口。</x:v>
      </x:c>
      <x:c r="H5" s="17" t="n">
        <x:f>COUNTA(B5:E5)</x:f>
        <x:v>4</x:v>
      </x:c>
    </x:row>
    <x:row r="6">
      <x:c r="A6" s="11" t="str">
        <x:v>筛查前端与支持后端断点</x:v>
      </x:c>
      <x:c r="B6" s="11" t="str">
        <x:v>学生提出个别倾听和咨询入口，虽频次不高但风险意义明确。</x:v>
      </x:c>
      <x:c r="C6" s="11" t="str">
        <x:v>家长提出专职人员、咨询室、筛查和个体支持。</x:v>
      </x:c>
      <x:c r="D6" s="11" t="str">
        <x:v>15/17确认筛查和辅导；仅4人确认转介渠道，11人不清楚；危机制度14人不清楚。</x:v>
      </x:c>
      <x:c r="E6" s="11" t="str">
        <x:v>已完成平台测评和档案，但结果解释、复核、追踪和转介未充分说明。</x:v>
      </x:c>
      <x:c r="F6" s="14" t="str">
        <x:v>高度一致</x:v>
      </x:c>
      <x:c r="G6" s="11" t="str">
        <x:v>现有体系的主要短板不在有没有筛查，而在筛查后由谁判断、跟踪、转介和应对危机。</x:v>
      </x:c>
      <x:c r="H6" s="17" t="n">
        <x:f>COUNTA(B6:E6)</x:f>
        <x:v>4</x:v>
      </x:c>
    </x:row>
    <x:row r="7">
      <x:c r="A7" s="11" t="str">
        <x:v>班主任核心作用与专业边界</x:v>
      </x:c>
      <x:c r="B7" s="11" t="str">
        <x:v>学生期待沟通、倾听和可信任的求助关系。</x:v>
      </x:c>
      <x:c r="C7" s="11" t="str">
        <x:v>家长关注教师公平、特殊群体和家校沟通。</x:v>
      </x:c>
      <x:c r="D7" s="11" t="str">
        <x:v>14/17愿意接受培训，但明确自评胜任者仅约一半。</x:v>
      </x:c>
      <x:c r="E7" s="11" t="str">
        <x:v>问题发现和初步处置主要依赖班主任；负责人承认班主任并非心理专业人员。</x:v>
      </x:c>
      <x:c r="F7" s="14" t="str">
        <x:v>一致+互补</x:v>
      </x:c>
      <x:c r="G7" s="11" t="str">
        <x:v>班主任是关键保护因素，但不能继续依赖责任心无限扩张职责，需要工具、督导和转介后端。</x:v>
      </x:c>
      <x:c r="H7" s="17" t="n">
        <x:f>COUNTA(B7:E7)</x:f>
        <x:v>4</x:v>
      </x:c>
    </x:row>
    <x:row r="8">
      <x:c r="A8" s="11" t="str">
        <x:v>家长高重视与知识行动落差</x:v>
      </x:c>
      <x:c r="B8" s="11" t="str">
        <x:v>家庭沟通和压力是学生实际关切之一。</x:v>
      </x:c>
      <x:c r="C8" s="11" t="str">
        <x:v>重视度4—5分88.5%，知识4—5分67.8%；重视显著高于知识。</x:v>
      </x:c>
      <x:c r="D8" s="11" t="str">
        <x:v>教师对家长了解与资源的评价分散。</x:v>
      </x:c>
      <x:c r="E8" s="11" t="str">
        <x:v>陪伴不足、经济压力、亲子沟通和网络使用相互交织。</x:v>
      </x:c>
      <x:c r="F8" s="14" t="str">
        <x:v>互补</x:v>
      </x:c>
      <x:c r="G8" s="11" t="str">
        <x:v>家长并非普遍不关心，而是需要具体识别、沟通、陪伴和求助工具，并兼顾难以参与的家庭。</x:v>
      </x:c>
      <x:c r="H8" s="17" t="n">
        <x:f>COUNTA(B8:E8)</x:f>
        <x:v>4</x:v>
      </x:c>
    </x:row>
    <x:row r="9">
      <x:c r="A9" s="11" t="str">
        <x:v>专业资源与外部协作不足</x:v>
      </x:c>
      <x:c r="B9" s="11" t="str">
        <x:v>个别学生直接提出心理咨询师需求。</x:v>
      </x:c>
      <x:c r="C9" s="11" t="str">
        <x:v>家长提出专业师资、咨询服务和校外资源。</x:v>
      </x:c>
      <x:c r="D9" s="11" t="str">
        <x:v>师资人数、资质和外部合作认知分歧大；转介信息不清。</x:v>
      </x:c>
      <x:c r="E9" s="11" t="str">
        <x:v>缺少专职心理教师、专项经费和稳定医院/机构合作。</x:v>
      </x:c>
      <x:c r="F9" s="14" t="str">
        <x:v>一致+张力</x:v>
      </x:c>
      <x:c r="G9" s="11" t="str">
        <x:v>场地或活动存在不等于稳定专业服务；资源事实与教师知晓之间同时存在不足。</x:v>
      </x:c>
      <x:c r="H9" s="17" t="n">
        <x:f>COUNTA(B9:E9)</x:f>
        <x:v>4</x:v>
      </x:c>
    </x:row>
    <x:row r="10">
      <x:c r="A10" s="12" t="str">
        <x:v>网络与家庭生态压力</x:v>
      </x:c>
      <x:c r="B10" s="12" t="str">
        <x:v>开放题涉及同伴、情绪和学习压力，但未直接测量网络暴露。</x:v>
      </x:c>
      <x:c r="C10" s="12" t="str">
        <x:v>建议关注个体与特殊家庭，但未直接测量家庭结构效应。</x:v>
      </x:c>
      <x:c r="D10" s="12" t="str">
        <x:v>部分教师观察到家庭与社会资源差异。</x:v>
      </x:c>
      <x:c r="E10" s="12" t="str">
        <x:v>负责人反复提及网络使用、陪伴不足、经济和亲子冲突。</x:v>
      </x:c>
      <x:c r="F10" s="15" t="str">
        <x:v>单一来源为主</x:v>
      </x:c>
      <x:c r="G10" s="12" t="str">
        <x:v>这些是重要情境线索，不能写成网络或家庭单一导致学生问题；应作为课程与支持设计的背景。</x:v>
      </x:c>
      <x:c r="H10" s="18" t="n">
        <x:f>COUNTA(B10:E10)</x:f>
        <x:v>4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6" hidden="0" customWidth="1"/>
    <x:col min="4" max="4" width="16" hidden="0" customWidth="1"/>
    <x:col min="5" max="5" width="20" hidden="0" customWidth="1"/>
    <x:col min="6" max="6" width="62" hidden="0" customWidth="1"/>
    <x:col min="7" max="7" width="46" hidden="0" customWidth="1"/>
  </x:cols>
  <x:sheetData>
    <x:row r="1" ht="28" customHeight="1">
      <x:c r="A1" s="5" t="str">
        <x:v>跨来源整合使用的关键量化指标</x:v>
      </x:c>
      <x:c r="B1" s="5"/>
      <x:c r="C1" s="5"/>
      <x:c r="D1" s="5"/>
      <x:c r="E1" s="5"/>
      <x:c r="F1" s="5"/>
      <x:c r="G1" s="5"/>
    </x:row>
    <x:row r="2" ht="30" customHeight="1">
      <x:c r="A2" s="9" t="str">
        <x:v>来源</x:v>
      </x:c>
      <x:c r="B2" s="9" t="str">
        <x:v>指标</x:v>
      </x:c>
      <x:c r="C2" s="9" t="str">
        <x:v>分子/人数</x:v>
      </x:c>
      <x:c r="D2" s="9" t="str">
        <x:v>分母/有效n</x:v>
      </x:c>
      <x:c r="E2" s="9" t="str">
        <x:v>比例/统计量</x:v>
      </x:c>
      <x:c r="F2" s="9" t="str">
        <x:v>解释边界</x:v>
      </x:c>
      <x:c r="G2" s="9" t="str">
        <x:v>来源工作表</x:v>
      </x:c>
    </x:row>
    <x:row r="3">
      <x:c r="A3" s="13" t="str">
        <x:v>学生</x:v>
      </x:c>
      <x:c r="B3" s="10" t="str">
        <x:v>了解度4—5分</x:v>
      </x:c>
      <x:c r="C3" s="13" t="n">
        <x:v>69</x:v>
      </x:c>
      <x:c r="D3" s="13" t="n">
        <x:v>99</x:v>
      </x:c>
      <x:c r="E3" s="19" t="n">
        <x:v>0.697</x:v>
      </x:c>
      <x:c r="F3" s="10" t="str">
        <x:v>正向了解比例；不代表掌握全部求助渠道。</x:v>
      </x:c>
      <x:c r="G3" s="10" t="str">
        <x:v>学生问卷/量化_描述统计</x:v>
      </x:c>
    </x:row>
    <x:row r="4">
      <x:c r="A4" s="14" t="str">
        <x:v>学生</x:v>
      </x:c>
      <x:c r="B4" s="11" t="str">
        <x:v>满意度4—5分</x:v>
      </x:c>
      <x:c r="C4" s="14" t="n">
        <x:v>79</x:v>
      </x:c>
      <x:c r="D4" s="14" t="n">
        <x:v>99</x:v>
      </x:c>
      <x:c r="E4" s="20" t="n">
        <x:v>0.798</x:v>
      </x:c>
      <x:c r="F4" s="11" t="str">
        <x:v>总体认可较高；不等于服务闭环完整。</x:v>
      </x:c>
      <x:c r="G4" s="11" t="str">
        <x:v>学生问卷/量化_描述统计</x:v>
      </x:c>
    </x:row>
    <x:row r="5">
      <x:c r="A5" s="14" t="str">
        <x:v>学生</x:v>
      </x:c>
      <x:c r="B5" s="11" t="str">
        <x:v>了解—满意Spearman相关</x:v>
      </x:c>
      <x:c r="C5" s="14"/>
      <x:c r="D5" s="14" t="n">
        <x:v>99</x:v>
      </x:c>
      <x:c r="E5" s="20" t="n">
        <x:v>0.551</x:v>
      </x:c>
      <x:c r="F5" s="11" t="str">
        <x:v>横断面相关，不证明了解导致满意。</x:v>
      </x:c>
      <x:c r="G5" s="11" t="str">
        <x:v>学生问卷/量化_统计检验</x:v>
      </x:c>
    </x:row>
    <x:row r="6">
      <x:c r="A6" s="14" t="str">
        <x:v>家长</x:v>
      </x:c>
      <x:c r="B6" s="11" t="str">
        <x:v>了解度4—5分</x:v>
      </x:c>
      <x:c r="C6" s="14" t="n">
        <x:v>52</x:v>
      </x:c>
      <x:c r="D6" s="14" t="n">
        <x:v>87</x:v>
      </x:c>
      <x:c r="E6" s="20" t="n">
        <x:v>0.598</x:v>
      </x:c>
      <x:c r="F6" s="11" t="str">
        <x:v>反映家长主观了解。</x:v>
      </x:c>
      <x:c r="G6" s="11" t="str">
        <x:v>家长问卷/量化_描述统计</x:v>
      </x:c>
    </x:row>
    <x:row r="7">
      <x:c r="A7" s="14" t="str">
        <x:v>家长</x:v>
      </x:c>
      <x:c r="B7" s="11" t="str">
        <x:v>满意度4—5分</x:v>
      </x:c>
      <x:c r="C7" s="14" t="n">
        <x:v>55</x:v>
      </x:c>
      <x:c r="D7" s="14" t="n">
        <x:v>87</x:v>
      </x:c>
      <x:c r="E7" s="20" t="n">
        <x:v>0.632</x:v>
      </x:c>
      <x:c r="F7" s="11" t="str">
        <x:v>总体中等偏上。</x:v>
      </x:c>
      <x:c r="G7" s="11" t="str">
        <x:v>家长问卷/量化_描述统计</x:v>
      </x:c>
    </x:row>
    <x:row r="8">
      <x:c r="A8" s="14" t="str">
        <x:v>家长</x:v>
      </x:c>
      <x:c r="B8" s="11" t="str">
        <x:v>至少参与一次学校活动</x:v>
      </x:c>
      <x:c r="C8" s="14" t="n">
        <x:v>66</x:v>
      </x:c>
      <x:c r="D8" s="14" t="n">
        <x:v>87</x:v>
      </x:c>
      <x:c r="E8" s="20" t="n">
        <x:v>0.759</x:v>
      </x:c>
      <x:c r="F8" s="11" t="str">
        <x:v>参与与评价相关，但不能推断因果。</x:v>
      </x:c>
      <x:c r="G8" s="11" t="str">
        <x:v>家长问卷/量化_频数分布</x:v>
      </x:c>
    </x:row>
    <x:row r="9">
      <x:c r="A9" s="14" t="str">
        <x:v>家长</x:v>
      </x:c>
      <x:c r="B9" s="11" t="str">
        <x:v>重视度4—5分</x:v>
      </x:c>
      <x:c r="C9" s="14" t="n">
        <x:v>77</x:v>
      </x:c>
      <x:c r="D9" s="14" t="n">
        <x:v>87</x:v>
      </x:c>
      <x:c r="E9" s="20" t="n">
        <x:v>0.885</x:v>
      </x:c>
      <x:c r="F9" s="11" t="str">
        <x:v>高重视不等于高知识或高行动能力。</x:v>
      </x:c>
      <x:c r="G9" s="11" t="str">
        <x:v>家长问卷/量化_描述统计</x:v>
      </x:c>
    </x:row>
    <x:row r="10">
      <x:c r="A10" s="14" t="str">
        <x:v>家长</x:v>
      </x:c>
      <x:c r="B10" s="11" t="str">
        <x:v>心理健康知识4—5分</x:v>
      </x:c>
      <x:c r="C10" s="14" t="n">
        <x:v>59</x:v>
      </x:c>
      <x:c r="D10" s="14" t="n">
        <x:v>87</x:v>
      </x:c>
      <x:c r="E10" s="20" t="n">
        <x:v>0.678</x:v>
      </x:c>
      <x:c r="F10" s="11" t="str">
        <x:v>与重视度存在明显落差。</x:v>
      </x:c>
      <x:c r="G10" s="11" t="str">
        <x:v>家长问卷/量化_描述统计</x:v>
      </x:c>
    </x:row>
    <x:row r="11">
      <x:c r="A11" s="14" t="str">
        <x:v>教师</x:v>
      </x:c>
      <x:c r="B11" s="11" t="str">
        <x:v>确认开展心理辅导</x:v>
      </x:c>
      <x:c r="C11" s="14" t="n">
        <x:v>15</x:v>
      </x:c>
      <x:c r="D11" s="14" t="n">
        <x:v>17</x:v>
      </x:c>
      <x:c r="E11" s="20" t="n">
        <x:v>0.882</x:v>
      </x:c>
      <x:c r="F11" s="11" t="str">
        <x:v>教师认知分布，不直接等于制度审计结果。</x:v>
      </x:c>
      <x:c r="G11" s="11" t="str">
        <x:v>教师问卷/量化_关键结果</x:v>
      </x:c>
    </x:row>
    <x:row r="12">
      <x:c r="A12" s="14" t="str">
        <x:v>教师</x:v>
      </x:c>
      <x:c r="B12" s="11" t="str">
        <x:v>确认开展学生筛查</x:v>
      </x:c>
      <x:c r="C12" s="14" t="n">
        <x:v>15</x:v>
      </x:c>
      <x:c r="D12" s="14" t="n">
        <x:v>17</x:v>
      </x:c>
      <x:c r="E12" s="20" t="n">
        <x:v>0.882</x:v>
      </x:c>
      <x:c r="F12" s="11" t="str">
        <x:v>前端筛查基础较明确。</x:v>
      </x:c>
      <x:c r="G12" s="11" t="str">
        <x:v>教师问卷/量化_关键结果</x:v>
      </x:c>
    </x:row>
    <x:row r="13">
      <x:c r="A13" s="14" t="str">
        <x:v>教师</x:v>
      </x:c>
      <x:c r="B13" s="11" t="str">
        <x:v>确认重点学生转介渠道</x:v>
      </x:c>
      <x:c r="C13" s="14" t="n">
        <x:v>4</x:v>
      </x:c>
      <x:c r="D13" s="14" t="n">
        <x:v>17</x:v>
      </x:c>
      <x:c r="E13" s="20" t="n">
        <x:v>0.235</x:v>
      </x:c>
      <x:c r="F13" s="11" t="str">
        <x:v>另有11人不清楚，主要反映路径可见度。</x:v>
      </x:c>
      <x:c r="G13" s="11" t="str">
        <x:v>教师问卷/量化_关键结果</x:v>
      </x:c>
    </x:row>
    <x:row r="14">
      <x:c r="A14" s="14" t="str">
        <x:v>教师</x:v>
      </x:c>
      <x:c r="B14" s="11" t="str">
        <x:v>不清楚危机干预体系</x:v>
      </x:c>
      <x:c r="C14" s="14" t="n">
        <x:v>14</x:v>
      </x:c>
      <x:c r="D14" s="14" t="n">
        <x:v>17</x:v>
      </x:c>
      <x:c r="E14" s="20" t="n">
        <x:v>0.824</x:v>
      </x:c>
      <x:c r="F14" s="11" t="str">
        <x:v>不可直接等同于制度绝对不存在。</x:v>
      </x:c>
      <x:c r="G14" s="11" t="str">
        <x:v>教师问卷/量化_不清楚率</x:v>
      </x:c>
    </x:row>
    <x:row r="15">
      <x:c r="A15" s="15" t="str">
        <x:v>教师</x:v>
      </x:c>
      <x:c r="B15" s="12" t="str">
        <x:v>明确愿意接受培训</x:v>
      </x:c>
      <x:c r="C15" s="15" t="n">
        <x:v>14</x:v>
      </x:c>
      <x:c r="D15" s="15" t="n">
        <x:v>17</x:v>
      </x:c>
      <x:c r="E15" s="21" t="n">
        <x:v>0.824</x:v>
      </x:c>
      <x:c r="F15" s="12" t="str">
        <x:v>为短期能力建设提供现实入口。</x:v>
      </x:c>
      <x:c r="G15" s="12" t="str">
        <x:v>教师问卷/量化_类别分布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6" hidden="0" customWidth="1"/>
    <x:col min="3" max="3" width="66" hidden="0" customWidth="1"/>
    <x:col min="4" max="4" width="68" hidden="0" customWidth="1"/>
    <x:col min="5" max="5" width="66" hidden="0" customWidth="1"/>
  </x:cols>
  <x:sheetData>
    <x:row r="1" ht="28" customHeight="1">
      <x:c r="A1" s="5" t="str">
        <x:v>跨来源口径差异、表面矛盾与解释规则</x:v>
      </x:c>
      <x:c r="B1" s="5"/>
      <x:c r="C1" s="5"/>
      <x:c r="D1" s="5"/>
      <x:c r="E1" s="5"/>
    </x:row>
    <x:row r="2" ht="30" customHeight="1">
      <x:c r="A2" s="9" t="str">
        <x:v>表面张力</x:v>
      </x:c>
      <x:c r="B2" s="9" t="str">
        <x:v>来源表现</x:v>
      </x:c>
      <x:c r="C2" s="9" t="str">
        <x:v>可能解释</x:v>
      </x:c>
      <x:c r="D2" s="9" t="str">
        <x:v>综合处理</x:v>
      </x:c>
      <x:c r="E2" s="9" t="str">
        <x:v>不得写成</x:v>
      </x:c>
    </x:row>
    <x:row r="3">
      <x:c r="A3" s="10" t="str">
        <x:v>有咨询室 vs 实际使用有限</x:v>
      </x:c>
      <x:c r="B3" s="10" t="str">
        <x:v>11/17教师认为有咨询室；访谈称辅导室存在但不常用。</x:v>
      </x:c>
      <x:c r="C3" s="10" t="str">
        <x:v>‘场地存在’与‘持续提供专业服务’不是同一指标。</x:v>
      </x:c>
      <x:c r="D3" s="10" t="str">
        <x:v>同时报告物理空间基础和使用/专业人员不足。</x:v>
      </x:c>
      <x:c r="E3" s="10" t="str">
        <x:v>学校完全没有咨询条件，或咨询体系已经完善。</x:v>
      </x:c>
    </x:row>
    <x:row r="4">
      <x:c r="A4" s="11" t="str">
        <x:v>有心理教师 vs 配置说法矛盾</x:v>
      </x:c>
      <x:c r="B4" s="11" t="str">
        <x:v>教师对专兼配置和人数回答高度不一致；访谈称主要兼职、专职稀缺。</x:v>
      </x:c>
      <x:c r="C4" s="11" t="str">
        <x:v>岗位名称、兼职口径、教师知晓范围不同。</x:v>
      </x:c>
      <x:c r="D4" s="11" t="str">
        <x:v>把不一致本身作为信息透明度与制度可见度证据。</x:v>
      </x:c>
      <x:c r="E4" s="11" t="str">
        <x:v>用多数票确定学校唯一真实人数。</x:v>
      </x:c>
    </x:row>
    <x:row r="5">
      <x:c r="A5" s="11" t="str">
        <x:v>课程覆盖较广 vs 学生仍要求增加内容活动</x:v>
      </x:c>
      <x:c r="B5" s="11" t="str">
        <x:v>教师多数确认开课；学生希望更多互动、活动和内容。</x:v>
      </x:c>
      <x:c r="C5" s="11" t="str">
        <x:v>供给是否存在不同于频率、体验、参与性和可见度。</x:v>
      </x:c>
      <x:c r="D5" s="11" t="str">
        <x:v>判断为数量、形式和体验仍有提升空间。</x:v>
      </x:c>
      <x:c r="E5" s="11" t="str">
        <x:v>学校完全没上课，或学生只是贪玩。</x:v>
      </x:c>
    </x:row>
    <x:row r="6">
      <x:c r="A6" s="11" t="str">
        <x:v>家长重视高 vs 无实质建议较多</x:v>
      </x:c>
      <x:c r="B6" s="11" t="str">
        <x:v>88.5%高重视；28名家长无实质建议。</x:v>
      </x:c>
      <x:c r="C6" s="11" t="str">
        <x:v>无建议可能来自满意，也可能来自不了解可要求什么或表达困难。</x:v>
      </x:c>
      <x:c r="D6" s="11" t="str">
        <x:v>不单向解释无建议，结合知识与了解度。</x:v>
      </x:c>
      <x:c r="E6" s="11" t="str">
        <x:v>没有建议等于完全满意。</x:v>
      </x:c>
    </x:row>
    <x:row r="7">
      <x:c r="A7" s="11" t="str">
        <x:v>筛查普遍 vs 后续闭环不清</x:v>
      </x:c>
      <x:c r="B7" s="11" t="str">
        <x:v>多数教师确认筛查；访谈也提到平台测评。</x:v>
      </x:c>
      <x:c r="C7" s="11" t="str">
        <x:v>完成测评不自动产生复核、追踪、转介和危机处置。</x:v>
      </x:c>
      <x:c r="D7" s="11" t="str">
        <x:v>把流程后端列为核心改进点。</x:v>
      </x:c>
      <x:c r="E7" s="11" t="str">
        <x:v>做了筛查就完成心理健康服务。</x:v>
      </x:c>
    </x:row>
    <x:row r="8">
      <x:c r="A8" s="12" t="str">
        <x:v>网络问题突出 vs 问卷证据有限</x:v>
      </x:c>
      <x:c r="B8" s="12" t="str">
        <x:v>访谈强调网络影响；三类问卷未直接测量网络暴露与行为因果。</x:v>
      </x:c>
      <x:c r="C8" s="12" t="str">
        <x:v>管理者经验提供情境线索，但缺少直接量化验证。</x:v>
      </x:c>
      <x:c r="D8" s="12" t="str">
        <x:v>写作管理者感受到的压力，并提出数字素养课程。</x:v>
      </x:c>
      <x:c r="E8" s="12" t="str">
        <x:v>网络导致学生暴力或心理问题。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72" hidden="0" customWidth="1"/>
  </x:cols>
  <x:sheetData>
    <x:row r="1" ht="28" customHeight="1">
      <x:c r="A1" s="5" t="str">
        <x:v>基于来源覆盖、紧迫性、可行性和预期影响的建议优先级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0" customHeight="1">
      <x:c r="A2" s="22" t="str">
        <x:v>编号</x:v>
      </x:c>
      <x:c r="B2" s="9" t="str">
        <x:v>建议</x:v>
      </x:c>
      <x:c r="C2" s="9" t="str">
        <x:v>学生</x:v>
      </x:c>
      <x:c r="D2" s="9" t="str">
        <x:v>家长</x:v>
      </x:c>
      <x:c r="E2" s="9" t="str">
        <x:v>教师</x:v>
      </x:c>
      <x:c r="F2" s="9" t="str">
        <x:v>访谈</x:v>
      </x:c>
      <x:c r="G2" s="9" t="str">
        <x:v>紧迫性(1-3)</x:v>
      </x:c>
      <x:c r="H2" s="9" t="str">
        <x:v>可行性(1-3)</x:v>
      </x:c>
      <x:c r="I2" s="9" t="str">
        <x:v>影响(1-3)</x:v>
      </x:c>
      <x:c r="J2" s="9" t="str">
        <x:v>来源覆盖数</x:v>
      </x:c>
      <x:c r="K2" s="9" t="str">
        <x:v>综合优先值</x:v>
      </x:c>
      <x:c r="L2" s="9" t="str">
        <x:v>实施时序</x:v>
      </x:c>
      <x:c r="M2" s="9" t="str">
        <x:v>实施说明</x:v>
      </x:c>
    </x:row>
    <x:row r="3">
      <x:c r="A3" s="23" t="str">
        <x:v>P1</x:v>
      </x:c>
      <x:c r="B3" s="10" t="str">
        <x:v>建立筛查—复核—分级支持—转介—危机处置闭环</x:v>
      </x:c>
      <x:c r="C3" s="13" t="n">
        <x:v>1</x:v>
      </x:c>
      <x:c r="D3" s="13" t="n">
        <x:v>1</x:v>
      </x:c>
      <x:c r="E3" s="13" t="n">
        <x:v>1</x:v>
      </x:c>
      <x:c r="F3" s="13" t="n">
        <x:v>1</x:v>
      </x:c>
      <x:c r="G3" s="13" t="n">
        <x:v>3</x:v>
      </x:c>
      <x:c r="H3" s="13" t="n">
        <x:v>2</x:v>
      </x:c>
      <x:c r="I3" s="13" t="n">
        <x:v>3</x:v>
      </x:c>
      <x:c r="J3" s="13" t="n">
        <x:f>SUM(C3:F3)</x:f>
        <x:v>4</x:v>
      </x:c>
      <x:c r="K3" s="26" t="n">
        <x:f>ROUND(J3/4*0.4+G3/3*0.25+H3/3*0.15+I3/3*0.2,2)</x:f>
        <x:v>0.95</x:v>
      </x:c>
      <x:c r="L3" s="13" t="str">
        <x:v>立即</x:v>
      </x:c>
      <x:c r="M3" s="10" t="str">
        <x:v>先明确责任人、红旗信号、记录、家长沟通、县域转介和紧急流程。</x:v>
      </x:c>
    </x:row>
    <x:row r="4">
      <x:c r="A4" s="24" t="str">
        <x:v>P2</x:v>
      </x:c>
      <x:c r="B4" s="11" t="str">
        <x:v>公开并反复说明课程、咨询、求助与转介渠道</x:v>
      </x:c>
      <x:c r="C4" s="14" t="n">
        <x:v>1</x:v>
      </x:c>
      <x:c r="D4" s="14" t="n">
        <x:v>1</x:v>
      </x:c>
      <x:c r="E4" s="14" t="n">
        <x:v>1</x:v>
      </x:c>
      <x:c r="F4" s="14" t="n">
        <x:v>1</x:v>
      </x:c>
      <x:c r="G4" s="14" t="n">
        <x:v>2</x:v>
      </x:c>
      <x:c r="H4" s="14" t="n">
        <x:v>3</x:v>
      </x:c>
      <x:c r="I4" s="14" t="n">
        <x:v>3</x:v>
      </x:c>
      <x:c r="J4" s="14" t="n">
        <x:f>SUM(C4:F4)</x:f>
        <x:v>4</x:v>
      </x:c>
      <x:c r="K4" s="27" t="n">
        <x:f>ROUND(J4/4*0.4+G4/3*0.25+H4/3*0.15+I4/3*0.2,2)</x:f>
        <x:v>0.92</x:v>
      </x:c>
      <x:c r="L4" s="14" t="str">
        <x:v>立即</x:v>
      </x:c>
      <x:c r="M4" s="11" t="str">
        <x:v>面向学生、家长和教师分别制作简明路径图，避免只发布一次。</x:v>
      </x:c>
    </x:row>
    <x:row r="5">
      <x:c r="A5" s="24" t="str">
        <x:v>P3</x:v>
      </x:c>
      <x:c r="B5" s="11" t="str">
        <x:v>为班主任提供风险识别、支持性谈话和边界培训</x:v>
      </x:c>
      <x:c r="C5" s="14" t="n">
        <x:v>1</x:v>
      </x:c>
      <x:c r="D5" s="14" t="n">
        <x:v>1</x:v>
      </x:c>
      <x:c r="E5" s="14" t="n">
        <x:v>1</x:v>
      </x:c>
      <x:c r="F5" s="14" t="n">
        <x:v>1</x:v>
      </x:c>
      <x:c r="G5" s="14" t="n">
        <x:v>3</x:v>
      </x:c>
      <x:c r="H5" s="14" t="n">
        <x:v>3</x:v>
      </x:c>
      <x:c r="I5" s="14" t="n">
        <x:v>3</x:v>
      </x:c>
      <x:c r="J5" s="14" t="n">
        <x:f>SUM(C5:F5)</x:f>
        <x:v>4</x:v>
      </x:c>
      <x:c r="K5" s="27" t="n">
        <x:f>ROUND(J5/4*0.4+G5/3*0.25+H5/3*0.15+I5/3*0.2,2)</x:f>
        <x:v>1</x:v>
      </x:c>
      <x:c r="L5" s="14" t="str">
        <x:v>立即</x:v>
      </x:c>
      <x:c r="M5" s="11" t="str">
        <x:v>培训与督导配套，明确班主任不是诊断者或治疗者。</x:v>
      </x:c>
    </x:row>
    <x:row r="6">
      <x:c r="A6" s="24" t="str">
        <x:v>P4</x:v>
      </x:c>
      <x:c r="B6" s="11" t="str">
        <x:v>增加人际、情绪、压力主题的参与式课程与活动</x:v>
      </x:c>
      <x:c r="C6" s="14" t="n">
        <x:v>1</x:v>
      </x:c>
      <x:c r="D6" s="14" t="n">
        <x:v>1</x:v>
      </x:c>
      <x:c r="E6" s="14" t="n">
        <x:v>1</x:v>
      </x:c>
      <x:c r="F6" s="14" t="n">
        <x:v>1</x:v>
      </x:c>
      <x:c r="G6" s="14" t="n">
        <x:v>2</x:v>
      </x:c>
      <x:c r="H6" s="14" t="n">
        <x:v>3</x:v>
      </x:c>
      <x:c r="I6" s="14" t="n">
        <x:v>2</x:v>
      </x:c>
      <x:c r="J6" s="14" t="n">
        <x:f>SUM(C6:F6)</x:f>
        <x:v>4</x:v>
      </x:c>
      <x:c r="K6" s="27" t="n">
        <x:f>ROUND(J6/4*0.4+G6/3*0.25+H6/3*0.15+I6/3*0.2,2)</x:f>
        <x:v>0.85</x:v>
      </x:c>
      <x:c r="L6" s="14" t="str">
        <x:v>近期</x:v>
      </x:c>
      <x:c r="M6" s="11" t="str">
        <x:v>保留现有课程基础，加入游戏、情境练习、游园、漫画与生涯体验。</x:v>
      </x:c>
    </x:row>
    <x:row r="7">
      <x:c r="A7" s="24" t="str">
        <x:v>P5</x:v>
      </x:c>
      <x:c r="B7" s="11" t="str">
        <x:v>把家长高重视转化为具体家庭支持工具</x:v>
      </x:c>
      <x:c r="C7" s="14" t="n">
        <x:v>1</x:v>
      </x:c>
      <x:c r="D7" s="14" t="n">
        <x:v>1</x:v>
      </x:c>
      <x:c r="E7" s="14" t="n">
        <x:v>1</x:v>
      </x:c>
      <x:c r="F7" s="14" t="n">
        <x:v>1</x:v>
      </x:c>
      <x:c r="G7" s="14" t="n">
        <x:v>2</x:v>
      </x:c>
      <x:c r="H7" s="14" t="n">
        <x:v>3</x:v>
      </x:c>
      <x:c r="I7" s="14" t="n">
        <x:v>2</x:v>
      </x:c>
      <x:c r="J7" s="14" t="n">
        <x:f>SUM(C7:F7)</x:f>
        <x:v>4</x:v>
      </x:c>
      <x:c r="K7" s="27" t="n">
        <x:f>ROUND(J7/4*0.4+G7/3*0.25+H7/3*0.15+I7/3*0.2,2)</x:f>
        <x:v>0.85</x:v>
      </x:c>
      <x:c r="L7" s="14" t="str">
        <x:v>近期</x:v>
      </x:c>
      <x:c r="M7" s="11" t="str">
        <x:v>提供识别、沟通、陪伴、网络使用协商和求助清单，兼顾无法到校家庭。</x:v>
      </x:c>
    </x:row>
    <x:row r="8">
      <x:c r="A8" s="24" t="str">
        <x:v>P6</x:v>
      </x:c>
      <x:c r="B8" s="11" t="str">
        <x:v>建立稳定外部专业联系和资源清单</x:v>
      </x:c>
      <x:c r="C8" s="14" t="n">
        <x:v>1</x:v>
      </x:c>
      <x:c r="D8" s="14" t="n">
        <x:v>1</x:v>
      </x:c>
      <x:c r="E8" s="14" t="n">
        <x:v>1</x:v>
      </x:c>
      <x:c r="F8" s="14" t="n">
        <x:v>1</x:v>
      </x:c>
      <x:c r="G8" s="14" t="n">
        <x:v>3</x:v>
      </x:c>
      <x:c r="H8" s="14" t="n">
        <x:v>2</x:v>
      </x:c>
      <x:c r="I8" s="14" t="n">
        <x:v>3</x:v>
      </x:c>
      <x:c r="J8" s="14" t="n">
        <x:f>SUM(C8:F8)</x:f>
        <x:v>4</x:v>
      </x:c>
      <x:c r="K8" s="27" t="n">
        <x:f>ROUND(J8/4*0.4+G8/3*0.25+H8/3*0.15+I8/3*0.2,2)</x:f>
        <x:v>0.95</x:v>
      </x:c>
      <x:c r="L8" s="14" t="str">
        <x:v>近期</x:v>
      </x:c>
      <x:c r="M8" s="11" t="str">
        <x:v>优先明确县域医院、未保、心理服务与教育部门联系人，再逐步建设长期合作。</x:v>
      </x:c>
    </x:row>
    <x:row r="9">
      <x:c r="A9" s="24" t="str">
        <x:v>P7</x:v>
      </x:c>
      <x:c r="B9" s="11" t="str">
        <x:v>统一师资、经费、制度和活动的数据口径</x:v>
      </x:c>
      <x:c r="C9" s="14" t="n">
        <x:v>0</x:v>
      </x:c>
      <x:c r="D9" s="14" t="n">
        <x:v>0</x:v>
      </x:c>
      <x:c r="E9" s="14" t="n">
        <x:v>1</x:v>
      </x:c>
      <x:c r="F9" s="14" t="n">
        <x:v>1</x:v>
      </x:c>
      <x:c r="G9" s="14" t="n">
        <x:v>2</x:v>
      </x:c>
      <x:c r="H9" s="14" t="n">
        <x:v>3</x:v>
      </x:c>
      <x:c r="I9" s="14" t="n">
        <x:v>2</x:v>
      </x:c>
      <x:c r="J9" s="14" t="n">
        <x:f>SUM(C9:F9)</x:f>
        <x:v>2</x:v>
      </x:c>
      <x:c r="K9" s="27" t="n">
        <x:f>ROUND(J9/4*0.4+G9/3*0.25+H9/3*0.15+I9/3*0.2,2)</x:f>
        <x:v>0.65</x:v>
      </x:c>
      <x:c r="L9" s="14" t="str">
        <x:v>持续</x:v>
      </x:c>
      <x:c r="M9" s="11" t="str">
        <x:v>维护年度台账，区分存在、可使用、知晓和实际使用。</x:v>
      </x:c>
    </x:row>
    <x:row r="10">
      <x:c r="A10" s="25" t="str">
        <x:v>P8</x:v>
      </x:c>
      <x:c r="B10" s="12" t="str">
        <x:v>建立尊重、非污名化的持续评估机制</x:v>
      </x:c>
      <x:c r="C10" s="15" t="n">
        <x:v>1</x:v>
      </x:c>
      <x:c r="D10" s="15" t="n">
        <x:v>1</x:v>
      </x:c>
      <x:c r="E10" s="15" t="n">
        <x:v>1</x:v>
      </x:c>
      <x:c r="F10" s="15" t="n">
        <x:v>1</x:v>
      </x:c>
      <x:c r="G10" s="15" t="n">
        <x:v>2</x:v>
      </x:c>
      <x:c r="H10" s="15" t="n">
        <x:v>2</x:v>
      </x:c>
      <x:c r="I10" s="15" t="n">
        <x:v>3</x:v>
      </x:c>
      <x:c r="J10" s="15" t="n">
        <x:f>SUM(C10:F10)</x:f>
        <x:v>4</x:v>
      </x:c>
      <x:c r="K10" s="28" t="n">
        <x:f>ROUND(J10/4*0.4+G10/3*0.25+H10/3*0.15+I10/3*0.2,2)</x:f>
        <x:v>0.87</x:v>
      </x:c>
      <x:c r="L10" s="15" t="str">
        <x:v>持续</x:v>
      </x:c>
      <x:c r="M10" s="12" t="str">
        <x:v>跟踪触达、知晓、求助体验和转介完成，不以筛查阳性率作为绩效。</x:v>
      </x:c>
    </x:row>
  </x:sheetData>
  <x:mergeCells>
    <x:mergeCell ref="A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  <x:col min="3" max="3" width="54" hidden="0" customWidth="1"/>
    <x:col min="4" max="4" width="66" hidden="0" customWidth="1"/>
    <x:col min="5" max="5" width="66" hidden="0" customWidth="1"/>
    <x:col min="6" max="6" width="62" hidden="0" customWidth="1"/>
  </x:cols>
  <x:sheetData>
    <x:row r="1" ht="28" customHeight="1">
      <x:c r="A1" s="5" t="str">
        <x:v>建议实施、过程指标与结果指标框架</x:v>
      </x:c>
      <x:c r="B1" s="5"/>
      <x:c r="C1" s="5"/>
      <x:c r="D1" s="5"/>
      <x:c r="E1" s="5"/>
      <x:c r="F1" s="5"/>
    </x:row>
    <x:row r="2" ht="30" customHeight="1">
      <x:c r="A2" s="9" t="str">
        <x:v>实施阶段</x:v>
      </x:c>
      <x:c r="B2" s="9" t="str">
        <x:v>重点行动</x:v>
      </x:c>
      <x:c r="C2" s="9" t="str">
        <x:v>责任主体建议</x:v>
      </x:c>
      <x:c r="D2" s="9" t="str">
        <x:v>过程指标</x:v>
      </x:c>
      <x:c r="E2" s="9" t="str">
        <x:v>结果指标</x:v>
      </x:c>
      <x:c r="F2" s="9" t="str">
        <x:v>伦理/解释注意</x:v>
      </x:c>
    </x:row>
    <x:row r="3">
      <x:c r="A3" s="10" t="str">
        <x:v>0—3个月</x:v>
      </x:c>
      <x:c r="B3" s="10" t="str">
        <x:v>梳理现有制度、人员、场地和县域资源；形成求助与危机流程；开展班主任基础培训。</x:v>
      </x:c>
      <x:c r="C3" s="10" t="str">
        <x:v>校领导、德育、班主任代表、上级专业支持</x:v>
      </x:c>
      <x:c r="D3" s="10" t="str">
        <x:v>流程文件完成；联系人核实；培训覆盖率；教师能复述红旗信号和上报路径。</x:v>
      </x:c>
      <x:c r="E3" s="10" t="str">
        <x:v>教师对转介/危机‘不清楚’比例下降；求助路径知晓度提高。</x:v>
      </x:c>
      <x:c r="F3" s="10" t="str">
        <x:v>不以增加上报数量简单评价教师；保护学生隐私。</x:v>
      </x:c>
    </x:row>
    <x:row r="4">
      <x:c r="A4" s="11" t="str">
        <x:v>3—6个月</x:v>
      </x:c>
      <x:c r="B4" s="11" t="str">
        <x:v>面向学生与家长发布分众渠道说明；开展参与式课程活动；建立案例讨论与专业咨询机制。</x:v>
      </x:c>
      <x:c r="C4" s="11" t="str">
        <x:v>德育/心理工作负责人、班主任、家长代表、高校/专业机构</x:v>
      </x:c>
      <x:c r="D4" s="11" t="str">
        <x:v>渠道触达次数；活动参与率；案例讨论频次；资源使用记录。</x:v>
      </x:c>
      <x:c r="E4" s="11" t="str">
        <x:v>学生和家长了解度提升；活动体验改善；求助等待时间缩短。</x:v>
      </x:c>
      <x:c r="F4" s="11" t="str">
        <x:v>参与率受时间和家庭条件影响，不将未参与贴标签。</x:v>
      </x:c>
    </x:row>
    <x:row r="5">
      <x:c r="A5" s="12" t="str">
        <x:v>6—12个月</x:v>
      </x:c>
      <x:c r="B5" s="12" t="str">
        <x:v>完善分级支持与转介追踪；建立年度数据台账；复测核心问卷指标并开展质性反馈。</x:v>
      </x:c>
      <x:c r="C5" s="12" t="str">
        <x:v>学校工作组、县域教育/医疗资源、评估人员</x:v>
      </x:c>
      <x:c r="D5" s="12" t="str">
        <x:v>转介闭环率；随访记录完整率；制度年度复核；多来源反馈完成。</x:v>
      </x:c>
      <x:c r="E5" s="12" t="str">
        <x:v>流程可见度、支持体验和转介完成率改善；高风险个案获得及时专业支持。</x:v>
      </x:c>
      <x:c r="F5" s="12" t="str">
        <x:v>不把筛查阳性率下降作为唯一目标；避免以研究替代服务。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2" hidden="0" customWidth="1"/>
    <x:col min="3" max="3" width="66" hidden="0" customWidth="1"/>
    <x:col min="4" max="4" width="66" hidden="0" customWidth="1"/>
  </x:cols>
  <x:sheetData>
    <x:row r="1" ht="28" customHeight="1">
      <x:c r="A1" s="5" t="str">
        <x:v>综合分析的限制、影响与后续补充</x:v>
      </x:c>
      <x:c r="B1" s="5"/>
      <x:c r="C1" s="5"/>
      <x:c r="D1" s="5"/>
    </x:row>
    <x:row r="2" ht="30" customHeight="1">
      <x:c r="A2" s="9" t="str">
        <x:v>限制</x:v>
      </x:c>
      <x:c r="B2" s="9" t="str">
        <x:v>影响</x:v>
      </x:c>
      <x:c r="C2" s="9" t="str">
        <x:v>当前处理</x:v>
      </x:c>
      <x:c r="D2" s="9" t="str">
        <x:v>后续补充</x:v>
      </x:c>
    </x:row>
    <x:row r="3">
      <x:c r="A3" s="10" t="str">
        <x:v>三类问卷个体级完整逐题数据不纳入公开仓库</x:v>
      </x:c>
      <x:c r="B3" s="10" t="str">
        <x:v>三类问卷均为横断面自陈资料，且教师样本量较小。</x:v>
      </x:c>
      <x:c r="C3" s="10" t="str">
        <x:v>结合有效样本量、题目适用条件和角色信息可见度解释结果。</x:v>
      </x:c>
      <x:c r="D3" s="10" t="str">
        <x:v>由获授权研究人员在受限环境中保存和复核；公开仓库仅保留汇总结果、分析代码和适合公开的研究材料。</x:v>
      </x:c>
    </x:row>
    <x:row r="4">
      <x:c r="A4" s="11" t="str">
        <x:v>学生年级代码1—3未找到可靠标签</x:v>
      </x:c>
      <x:c r="B4" s="11" t="str">
        <x:v>不能作具体发展阶段解释。</x:v>
      </x:c>
      <x:c r="C4" s="11" t="str">
        <x:v>只报告编码组差异。</x:v>
      </x:c>
      <x:c r="D4" s="11" t="str">
        <x:v>从施测记录或数据导出说明核对标签。</x:v>
      </x:c>
    </x:row>
    <x:row r="5">
      <x:c r="A5" s="11" t="str">
        <x:v>教师样本仅17名且反映同一学校</x:v>
      </x:c>
      <x:c r="B5" s="11" t="str">
        <x:v>比例波动大，不能外推所有教师或学校。</x:v>
      </x:c>
      <x:c r="C5" s="11" t="str">
        <x:v>以人数和分布描述，重视‘不清楚’和内部差异。</x:v>
      </x:c>
      <x:c r="D5" s="11" t="str">
        <x:v>扩大知情岗位覆盖并进行制度文件核验。</x:v>
      </x:c>
    </x:row>
    <x:row r="6">
      <x:c r="A6" s="11" t="str">
        <x:v>负责人访谈仅1人</x:v>
      </x:c>
      <x:c r="B6" s="11" t="str">
        <x:v>家庭、网络和资源判断主要是单一管理者视角。</x:v>
      </x:c>
      <x:c r="C6" s="11" t="str">
        <x:v>作为案例性解释，不写成普遍事实或单一因果。</x:v>
      </x:c>
      <x:c r="D6" s="11" t="str">
        <x:v>补充班主任、家长、学生或专业人员访谈。</x:v>
      </x:c>
    </x:row>
    <x:row r="7">
      <x:c r="A7" s="11" t="str">
        <x:v>两位编码员虽覆盖相同材料，但代码抽象层级并不完全同构</x:v>
      </x:c>
      <x:c r="B7" s="11" t="str">
        <x:v>不能把标签字面差异直接解释为编码不一致，也不宜未经统一代码本计算κ。</x:v>
      </x:c>
      <x:c r="C7" s="11" t="str">
        <x:v>保留两套独立编码，先对齐单位，再在共同主题层面交叉核对。</x:v>
      </x:c>
      <x:c r="D7" s="11" t="str">
        <x:v>如需一致性系数，先统一代码本与赋值规则，再进行互盲重编码。</x:v>
      </x:c>
    </x:row>
    <x:row r="8">
      <x:c r="A8" s="12" t="str">
        <x:v>问卷为横断面自陈资料</x:v>
      </x:c>
      <x:c r="B8" s="12" t="str">
        <x:v>相关关系可能受选择和共同方法影响。</x:v>
      </x:c>
      <x:c r="C8" s="12" t="str">
        <x:v>使用‘相关/相伴’而非‘导致/提升’。</x:v>
      </x:c>
      <x:c r="D8" s="12" t="str">
        <x:v>实施后采用前后测、过程数据和质性反馈综合评价。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4" hidden="0" customWidth="1"/>
    <x:col min="3" max="3" width="72" hidden="0" customWidth="1"/>
    <x:col min="4" max="4" width="46" hidden="0" customWidth="1"/>
  </x:cols>
  <x:sheetData>
    <x:row r="1" ht="28" customHeight="1">
      <x:c r="A1" s="5" t="str">
        <x:v>综合分析引用的项目内来源</x:v>
      </x:c>
      <x:c r="B1" s="5"/>
      <x:c r="C1" s="5"/>
      <x:c r="D1" s="5"/>
    </x:row>
    <x:row r="2" ht="30" customHeight="1">
      <x:c r="A2" s="9" t="str">
        <x:v>来源模块</x:v>
      </x:c>
      <x:c r="B2" s="9" t="str">
        <x:v>文件</x:v>
      </x:c>
      <x:c r="C2" s="9" t="str">
        <x:v>使用内容</x:v>
      </x:c>
      <x:c r="D2" s="9" t="str">
        <x:v>位置</x:v>
      </x:c>
    </x:row>
    <x:row r="3">
      <x:c r="A3" s="10" t="str">
        <x:v>学生问卷</x:v>
      </x:c>
      <x:c r="B3" s="10" t="str">
        <x:v>学生问卷正式分析.xlsx</x:v>
      </x:c>
      <x:c r="C3" s="10" t="str">
        <x:v>描述统计、检验、开放题主题、双编码材料</x:v>
      </x:c>
      <x:c r="D3" s="10" t="str">
        <x:v>03_数据分析/01_学生问卷</x:v>
      </x:c>
    </x:row>
    <x:row r="4">
      <x:c r="A4" s="11" t="str">
        <x:v>家长问卷</x:v>
      </x:c>
      <x:c r="B4" s="11" t="str">
        <x:v>家长问卷正式分析.xlsx</x:v>
      </x:c>
      <x:c r="C4" s="11" t="str">
        <x:v>描述统计、参与、知识—重视落差、建议主题</x:v>
      </x:c>
      <x:c r="D4" s="11" t="str">
        <x:v>03_数据分析/02_家长问卷</x:v>
      </x:c>
    </x:row>
    <x:row r="5">
      <x:c r="A5" s="11" t="str">
        <x:v>教师问卷</x:v>
      </x:c>
      <x:c r="B5" s="11" t="str">
        <x:v>教师问卷正式分析.xlsx</x:v>
      </x:c>
      <x:c r="C5" s="11" t="str">
        <x:v>制度、课程、师资、辅导、筛查、转介、不清楚率及28个题内补充文本的双编码证据</x:v>
      </x:c>
      <x:c r="D5" s="11" t="str">
        <x:v>03_数据分析/03_教师问卷</x:v>
      </x:c>
    </x:row>
    <x:row r="6">
      <x:c r="A6" s="11" t="str">
        <x:v>访谈</x:v>
      </x:c>
      <x:c r="B6" s="11" t="str">
        <x:v>访谈正式分析.xlsx</x:v>
      </x:c>
      <x:c r="C6" s="11" t="str">
        <x:v>30个意义单元、范畴、主题及独立编码员材料</x:v>
      </x:c>
      <x:c r="D6" s="11" t="str">
        <x:v>03_数据分析/04_访谈</x:v>
      </x:c>
    </x:row>
    <x:row r="7">
      <x:c r="A7" s="12" t="str">
        <x:v>阶段报告</x:v>
      </x:c>
      <x:c r="B7" s="12" t="str">
        <x:v>四份阶段报告.docx</x:v>
      </x:c>
      <x:c r="C7" s="12" t="str">
        <x:v>各来源内部的方法、结果和解释边界</x:v>
      </x:c>
      <x:c r="D7" s="12" t="str">
        <x:v>04_阶段报告</x:v>
      </x:c>
    </x:row>
  </x:sheetData>
  <x:mergeCells>
    <x:mergeCell ref="A1:D1"/>
  </x:mergeCells>
  <x:pageMargins left="0.7" right="0.7" top="0.75" bottom="0.75" header="0.3" footer="0.3"/>
</x:worksheet>
</file>